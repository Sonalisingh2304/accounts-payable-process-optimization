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a1cbcdcd1b270e/Desktop/"/>
    </mc:Choice>
  </mc:AlternateContent>
  <xr:revisionPtr revIDLastSave="240" documentId="8_{87E8CE2A-CB2E-419B-A15A-0DAA9DD5C8E9}" xr6:coauthVersionLast="47" xr6:coauthVersionMax="47" xr10:uidLastSave="{61D6ECEC-14E1-4D53-90DE-EE8ACB7E1B2D}"/>
  <bookViews>
    <workbookView minimized="1" xWindow="4800" yWindow="3110" windowWidth="14400" windowHeight="8170" firstSheet="1" activeTab="3" xr2:uid="{F1F9335D-EAB8-40ED-B0A1-D2343596B478}"/>
  </bookViews>
  <sheets>
    <sheet name="Dashboard" sheetId="4" r:id="rId1"/>
    <sheet name="Sheet2" sheetId="3" r:id="rId2"/>
    <sheet name="Sheet3" sheetId="6" r:id="rId3"/>
    <sheet name="Procurement KPI Analysis Datase" sheetId="1" r:id="rId4"/>
  </sheets>
  <definedNames>
    <definedName name="_xlnm._FilterDatabase" localSheetId="3" hidden="1">'Procurement KPI Analysis Datase'!$A$1:$V$778</definedName>
    <definedName name="_xlcn.WorksheetConnection_ProcurementKPIAnalysisDataseA1U778" hidden="1">'Procurement KPI Analysis Datase'!$A$1:$V$778</definedName>
  </definedName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Procurement KPI Analysis Datase!$A$1:$U$77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2" i="1"/>
  <c r="M15" i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P15" i="1" s="1"/>
  <c r="Q15" i="1" s="1"/>
  <c r="U15" i="1" s="1"/>
  <c r="V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P152" i="1" s="1"/>
  <c r="Q152" i="1" s="1"/>
  <c r="U152" i="1" s="1"/>
  <c r="V152" i="1" s="1"/>
  <c r="N153" i="1"/>
  <c r="O153" i="1" s="1"/>
  <c r="P153" i="1" s="1"/>
  <c r="Q153" i="1" s="1"/>
  <c r="U153" i="1" s="1"/>
  <c r="V153" i="1" s="1"/>
  <c r="N154" i="1"/>
  <c r="O154" i="1" s="1"/>
  <c r="P154" i="1" s="1"/>
  <c r="Q154" i="1" s="1"/>
  <c r="U154" i="1" s="1"/>
  <c r="V154" i="1" s="1"/>
  <c r="N155" i="1"/>
  <c r="O155" i="1" s="1"/>
  <c r="P155" i="1" s="1"/>
  <c r="Q155" i="1" s="1"/>
  <c r="U155" i="1" s="1"/>
  <c r="V155" i="1" s="1"/>
  <c r="N156" i="1"/>
  <c r="O156" i="1" s="1"/>
  <c r="P156" i="1" s="1"/>
  <c r="Q156" i="1" s="1"/>
  <c r="U156" i="1" s="1"/>
  <c r="V156" i="1" s="1"/>
  <c r="N157" i="1"/>
  <c r="O157" i="1" s="1"/>
  <c r="P157" i="1" s="1"/>
  <c r="Q157" i="1" s="1"/>
  <c r="U157" i="1" s="1"/>
  <c r="V157" i="1" s="1"/>
  <c r="N158" i="1"/>
  <c r="O158" i="1" s="1"/>
  <c r="P158" i="1" s="1"/>
  <c r="Q158" i="1" s="1"/>
  <c r="U158" i="1" s="1"/>
  <c r="V158" i="1" s="1"/>
  <c r="N159" i="1"/>
  <c r="O159" i="1" s="1"/>
  <c r="P159" i="1" s="1"/>
  <c r="Q159" i="1" s="1"/>
  <c r="U159" i="1" s="1"/>
  <c r="V159" i="1" s="1"/>
  <c r="N160" i="1"/>
  <c r="O160" i="1" s="1"/>
  <c r="P160" i="1" s="1"/>
  <c r="Q160" i="1" s="1"/>
  <c r="U160" i="1" s="1"/>
  <c r="V160" i="1" s="1"/>
  <c r="N161" i="1"/>
  <c r="O161" i="1" s="1"/>
  <c r="P161" i="1" s="1"/>
  <c r="Q161" i="1" s="1"/>
  <c r="U161" i="1" s="1"/>
  <c r="V161" i="1" s="1"/>
  <c r="N162" i="1"/>
  <c r="O162" i="1" s="1"/>
  <c r="P162" i="1" s="1"/>
  <c r="Q162" i="1" s="1"/>
  <c r="U162" i="1" s="1"/>
  <c r="V162" i="1" s="1"/>
  <c r="N163" i="1"/>
  <c r="O163" i="1" s="1"/>
  <c r="P163" i="1" s="1"/>
  <c r="Q163" i="1" s="1"/>
  <c r="U163" i="1" s="1"/>
  <c r="V163" i="1" s="1"/>
  <c r="N164" i="1"/>
  <c r="O164" i="1" s="1"/>
  <c r="P164" i="1" s="1"/>
  <c r="Q164" i="1" s="1"/>
  <c r="U164" i="1" s="1"/>
  <c r="V164" i="1" s="1"/>
  <c r="N165" i="1"/>
  <c r="O165" i="1" s="1"/>
  <c r="P165" i="1" s="1"/>
  <c r="Q165" i="1" s="1"/>
  <c r="U165" i="1" s="1"/>
  <c r="V165" i="1" s="1"/>
  <c r="N166" i="1"/>
  <c r="O166" i="1" s="1"/>
  <c r="P166" i="1" s="1"/>
  <c r="Q166" i="1" s="1"/>
  <c r="U166" i="1" s="1"/>
  <c r="V166" i="1" s="1"/>
  <c r="N167" i="1"/>
  <c r="O167" i="1" s="1"/>
  <c r="P167" i="1" s="1"/>
  <c r="Q167" i="1" s="1"/>
  <c r="U167" i="1" s="1"/>
  <c r="V167" i="1" s="1"/>
  <c r="N168" i="1"/>
  <c r="O168" i="1" s="1"/>
  <c r="P168" i="1" s="1"/>
  <c r="Q168" i="1" s="1"/>
  <c r="U168" i="1" s="1"/>
  <c r="V168" i="1" s="1"/>
  <c r="N169" i="1"/>
  <c r="O169" i="1" s="1"/>
  <c r="P169" i="1" s="1"/>
  <c r="Q169" i="1" s="1"/>
  <c r="U169" i="1" s="1"/>
  <c r="V169" i="1" s="1"/>
  <c r="N170" i="1"/>
  <c r="O170" i="1" s="1"/>
  <c r="P170" i="1" s="1"/>
  <c r="Q170" i="1" s="1"/>
  <c r="U170" i="1" s="1"/>
  <c r="V170" i="1" s="1"/>
  <c r="N171" i="1"/>
  <c r="O171" i="1" s="1"/>
  <c r="P171" i="1" s="1"/>
  <c r="Q171" i="1" s="1"/>
  <c r="U171" i="1" s="1"/>
  <c r="V171" i="1" s="1"/>
  <c r="N172" i="1"/>
  <c r="O172" i="1" s="1"/>
  <c r="P172" i="1" s="1"/>
  <c r="Q172" i="1" s="1"/>
  <c r="U172" i="1" s="1"/>
  <c r="V172" i="1" s="1"/>
  <c r="N173" i="1"/>
  <c r="O173" i="1" s="1"/>
  <c r="P173" i="1" s="1"/>
  <c r="Q173" i="1" s="1"/>
  <c r="U173" i="1" s="1"/>
  <c r="V173" i="1" s="1"/>
  <c r="N174" i="1"/>
  <c r="O174" i="1" s="1"/>
  <c r="N175" i="1"/>
  <c r="O175" i="1" s="1"/>
  <c r="P175" i="1" s="1"/>
  <c r="Q175" i="1" s="1"/>
  <c r="U175" i="1" s="1"/>
  <c r="V175" i="1" s="1"/>
  <c r="N176" i="1"/>
  <c r="O176" i="1" s="1"/>
  <c r="N177" i="1"/>
  <c r="O177" i="1" s="1"/>
  <c r="P177" i="1" s="1"/>
  <c r="Q177" i="1" s="1"/>
  <c r="U177" i="1" s="1"/>
  <c r="V177" i="1" s="1"/>
  <c r="N178" i="1"/>
  <c r="O178" i="1" s="1"/>
  <c r="P178" i="1" s="1"/>
  <c r="Q178" i="1" s="1"/>
  <c r="U178" i="1" s="1"/>
  <c r="V178" i="1" s="1"/>
  <c r="N179" i="1"/>
  <c r="O179" i="1" s="1"/>
  <c r="P179" i="1" s="1"/>
  <c r="Q179" i="1" s="1"/>
  <c r="U179" i="1" s="1"/>
  <c r="V179" i="1" s="1"/>
  <c r="N180" i="1"/>
  <c r="O180" i="1" s="1"/>
  <c r="P180" i="1" s="1"/>
  <c r="Q180" i="1" s="1"/>
  <c r="U180" i="1" s="1"/>
  <c r="V180" i="1" s="1"/>
  <c r="N181" i="1"/>
  <c r="O181" i="1" s="1"/>
  <c r="P181" i="1" s="1"/>
  <c r="Q181" i="1" s="1"/>
  <c r="U181" i="1" s="1"/>
  <c r="V181" i="1" s="1"/>
  <c r="N182" i="1"/>
  <c r="O182" i="1" s="1"/>
  <c r="P182" i="1" s="1"/>
  <c r="Q182" i="1" s="1"/>
  <c r="U182" i="1" s="1"/>
  <c r="V182" i="1" s="1"/>
  <c r="N183" i="1"/>
  <c r="O183" i="1" s="1"/>
  <c r="P183" i="1" s="1"/>
  <c r="Q183" i="1" s="1"/>
  <c r="U183" i="1" s="1"/>
  <c r="V183" i="1" s="1"/>
  <c r="N184" i="1"/>
  <c r="O184" i="1" s="1"/>
  <c r="P184" i="1" s="1"/>
  <c r="Q184" i="1" s="1"/>
  <c r="U184" i="1" s="1"/>
  <c r="V184" i="1" s="1"/>
  <c r="N185" i="1"/>
  <c r="O185" i="1" s="1"/>
  <c r="P185" i="1" s="1"/>
  <c r="Q185" i="1" s="1"/>
  <c r="U185" i="1" s="1"/>
  <c r="V185" i="1" s="1"/>
  <c r="N186" i="1"/>
  <c r="O186" i="1" s="1"/>
  <c r="P186" i="1" s="1"/>
  <c r="Q186" i="1" s="1"/>
  <c r="U186" i="1" s="1"/>
  <c r="V186" i="1" s="1"/>
  <c r="N187" i="1"/>
  <c r="O187" i="1" s="1"/>
  <c r="P187" i="1" s="1"/>
  <c r="Q187" i="1" s="1"/>
  <c r="U187" i="1" s="1"/>
  <c r="V187" i="1" s="1"/>
  <c r="N188" i="1"/>
  <c r="O188" i="1" s="1"/>
  <c r="P188" i="1" s="1"/>
  <c r="Q188" i="1" s="1"/>
  <c r="U188" i="1" s="1"/>
  <c r="V188" i="1" s="1"/>
  <c r="N189" i="1"/>
  <c r="O189" i="1" s="1"/>
  <c r="P189" i="1" s="1"/>
  <c r="Q189" i="1" s="1"/>
  <c r="U189" i="1" s="1"/>
  <c r="V189" i="1" s="1"/>
  <c r="N190" i="1"/>
  <c r="O190" i="1" s="1"/>
  <c r="P190" i="1" s="1"/>
  <c r="Q190" i="1" s="1"/>
  <c r="U190" i="1" s="1"/>
  <c r="V190" i="1" s="1"/>
  <c r="N191" i="1"/>
  <c r="O191" i="1" s="1"/>
  <c r="P191" i="1" s="1"/>
  <c r="Q191" i="1" s="1"/>
  <c r="U191" i="1" s="1"/>
  <c r="V191" i="1" s="1"/>
  <c r="N192" i="1"/>
  <c r="O192" i="1" s="1"/>
  <c r="P192" i="1" s="1"/>
  <c r="Q192" i="1" s="1"/>
  <c r="U192" i="1" s="1"/>
  <c r="V192" i="1" s="1"/>
  <c r="N193" i="1"/>
  <c r="O193" i="1" s="1"/>
  <c r="P193" i="1" s="1"/>
  <c r="Q193" i="1" s="1"/>
  <c r="U193" i="1" s="1"/>
  <c r="V193" i="1" s="1"/>
  <c r="N194" i="1"/>
  <c r="O194" i="1" s="1"/>
  <c r="P194" i="1" s="1"/>
  <c r="Q194" i="1" s="1"/>
  <c r="U194" i="1" s="1"/>
  <c r="V194" i="1" s="1"/>
  <c r="N195" i="1"/>
  <c r="O195" i="1" s="1"/>
  <c r="P195" i="1" s="1"/>
  <c r="Q195" i="1" s="1"/>
  <c r="U195" i="1" s="1"/>
  <c r="V195" i="1" s="1"/>
  <c r="N196" i="1"/>
  <c r="O196" i="1" s="1"/>
  <c r="P196" i="1" s="1"/>
  <c r="Q196" i="1" s="1"/>
  <c r="U196" i="1" s="1"/>
  <c r="V196" i="1" s="1"/>
  <c r="N197" i="1"/>
  <c r="O197" i="1" s="1"/>
  <c r="P197" i="1" s="1"/>
  <c r="Q197" i="1" s="1"/>
  <c r="U197" i="1" s="1"/>
  <c r="V197" i="1" s="1"/>
  <c r="N198" i="1"/>
  <c r="O198" i="1" s="1"/>
  <c r="P198" i="1" s="1"/>
  <c r="Q198" i="1" s="1"/>
  <c r="U198" i="1" s="1"/>
  <c r="V198" i="1" s="1"/>
  <c r="N199" i="1"/>
  <c r="O199" i="1" s="1"/>
  <c r="P199" i="1" s="1"/>
  <c r="Q199" i="1" s="1"/>
  <c r="U199" i="1" s="1"/>
  <c r="V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P222" i="1" s="1"/>
  <c r="Q222" i="1" s="1"/>
  <c r="U222" i="1" s="1"/>
  <c r="V222" i="1" s="1"/>
  <c r="N223" i="1"/>
  <c r="O223" i="1" s="1"/>
  <c r="P223" i="1" s="1"/>
  <c r="Q223" i="1" s="1"/>
  <c r="U223" i="1" s="1"/>
  <c r="V223" i="1" s="1"/>
  <c r="N224" i="1"/>
  <c r="O224" i="1" s="1"/>
  <c r="P224" i="1" s="1"/>
  <c r="Q224" i="1" s="1"/>
  <c r="U224" i="1" s="1"/>
  <c r="V224" i="1" s="1"/>
  <c r="N225" i="1"/>
  <c r="O225" i="1" s="1"/>
  <c r="P225" i="1" s="1"/>
  <c r="Q225" i="1" s="1"/>
  <c r="U225" i="1" s="1"/>
  <c r="V225" i="1" s="1"/>
  <c r="N226" i="1"/>
  <c r="O226" i="1" s="1"/>
  <c r="P226" i="1" s="1"/>
  <c r="Q226" i="1" s="1"/>
  <c r="U226" i="1" s="1"/>
  <c r="V226" i="1" s="1"/>
  <c r="N227" i="1"/>
  <c r="O227" i="1" s="1"/>
  <c r="N228" i="1"/>
  <c r="O228" i="1" s="1"/>
  <c r="P228" i="1" s="1"/>
  <c r="Q228" i="1" s="1"/>
  <c r="U228" i="1" s="1"/>
  <c r="V228" i="1" s="1"/>
  <c r="N229" i="1"/>
  <c r="O229" i="1" s="1"/>
  <c r="P229" i="1" s="1"/>
  <c r="Q229" i="1" s="1"/>
  <c r="U229" i="1" s="1"/>
  <c r="V229" i="1" s="1"/>
  <c r="N230" i="1"/>
  <c r="O230" i="1" s="1"/>
  <c r="P230" i="1" s="1"/>
  <c r="Q230" i="1" s="1"/>
  <c r="U230" i="1" s="1"/>
  <c r="V230" i="1" s="1"/>
  <c r="N231" i="1"/>
  <c r="O231" i="1" s="1"/>
  <c r="P231" i="1" s="1"/>
  <c r="Q231" i="1" s="1"/>
  <c r="U231" i="1" s="1"/>
  <c r="V231" i="1" s="1"/>
  <c r="N232" i="1"/>
  <c r="O232" i="1" s="1"/>
  <c r="P232" i="1" s="1"/>
  <c r="Q232" i="1" s="1"/>
  <c r="U232" i="1" s="1"/>
  <c r="V232" i="1" s="1"/>
  <c r="N233" i="1"/>
  <c r="O233" i="1" s="1"/>
  <c r="P233" i="1" s="1"/>
  <c r="Q233" i="1" s="1"/>
  <c r="U233" i="1" s="1"/>
  <c r="V233" i="1" s="1"/>
  <c r="N234" i="1"/>
  <c r="O234" i="1" s="1"/>
  <c r="P234" i="1" s="1"/>
  <c r="Q234" i="1" s="1"/>
  <c r="U234" i="1" s="1"/>
  <c r="V234" i="1" s="1"/>
  <c r="N235" i="1"/>
  <c r="O235" i="1" s="1"/>
  <c r="P235" i="1" s="1"/>
  <c r="Q235" i="1" s="1"/>
  <c r="U235" i="1" s="1"/>
  <c r="V235" i="1" s="1"/>
  <c r="N236" i="1"/>
  <c r="O236" i="1" s="1"/>
  <c r="P236" i="1" s="1"/>
  <c r="Q236" i="1" s="1"/>
  <c r="U236" i="1" s="1"/>
  <c r="V236" i="1" s="1"/>
  <c r="N237" i="1"/>
  <c r="O237" i="1" s="1"/>
  <c r="P237" i="1" s="1"/>
  <c r="Q237" i="1" s="1"/>
  <c r="U237" i="1" s="1"/>
  <c r="V237" i="1" s="1"/>
  <c r="N238" i="1"/>
  <c r="O238" i="1" s="1"/>
  <c r="P238" i="1" s="1"/>
  <c r="Q238" i="1" s="1"/>
  <c r="U238" i="1" s="1"/>
  <c r="V238" i="1" s="1"/>
  <c r="N239" i="1"/>
  <c r="O239" i="1" s="1"/>
  <c r="P239" i="1" s="1"/>
  <c r="Q239" i="1" s="1"/>
  <c r="U239" i="1" s="1"/>
  <c r="V239" i="1" s="1"/>
  <c r="N240" i="1"/>
  <c r="O240" i="1" s="1"/>
  <c r="P240" i="1" s="1"/>
  <c r="Q240" i="1" s="1"/>
  <c r="U240" i="1" s="1"/>
  <c r="V240" i="1" s="1"/>
  <c r="N241" i="1"/>
  <c r="O241" i="1" s="1"/>
  <c r="P241" i="1" s="1"/>
  <c r="Q241" i="1" s="1"/>
  <c r="U241" i="1" s="1"/>
  <c r="V241" i="1" s="1"/>
  <c r="N242" i="1"/>
  <c r="O242" i="1" s="1"/>
  <c r="P242" i="1" s="1"/>
  <c r="Q242" i="1" s="1"/>
  <c r="U242" i="1" s="1"/>
  <c r="V242" i="1" s="1"/>
  <c r="N243" i="1"/>
  <c r="O243" i="1" s="1"/>
  <c r="P243" i="1" s="1"/>
  <c r="Q243" i="1" s="1"/>
  <c r="U243" i="1" s="1"/>
  <c r="V243" i="1" s="1"/>
  <c r="N244" i="1"/>
  <c r="O244" i="1" s="1"/>
  <c r="P244" i="1" s="1"/>
  <c r="Q244" i="1" s="1"/>
  <c r="U244" i="1" s="1"/>
  <c r="V244" i="1" s="1"/>
  <c r="N245" i="1"/>
  <c r="O245" i="1" s="1"/>
  <c r="P245" i="1" s="1"/>
  <c r="Q245" i="1" s="1"/>
  <c r="U245" i="1" s="1"/>
  <c r="V245" i="1" s="1"/>
  <c r="N246" i="1"/>
  <c r="O246" i="1" s="1"/>
  <c r="P246" i="1" s="1"/>
  <c r="Q246" i="1" s="1"/>
  <c r="U246" i="1" s="1"/>
  <c r="V246" i="1" s="1"/>
  <c r="N247" i="1"/>
  <c r="O247" i="1" s="1"/>
  <c r="P247" i="1" s="1"/>
  <c r="Q247" i="1" s="1"/>
  <c r="U247" i="1" s="1"/>
  <c r="V247" i="1" s="1"/>
  <c r="N248" i="1"/>
  <c r="O248" i="1" s="1"/>
  <c r="P248" i="1" s="1"/>
  <c r="Q248" i="1" s="1"/>
  <c r="U248" i="1" s="1"/>
  <c r="V248" i="1" s="1"/>
  <c r="N249" i="1"/>
  <c r="O249" i="1" s="1"/>
  <c r="P249" i="1" s="1"/>
  <c r="Q249" i="1" s="1"/>
  <c r="U249" i="1" s="1"/>
  <c r="V249" i="1" s="1"/>
  <c r="N250" i="1"/>
  <c r="O250" i="1" s="1"/>
  <c r="P250" i="1" s="1"/>
  <c r="Q250" i="1" s="1"/>
  <c r="U250" i="1" s="1"/>
  <c r="V250" i="1" s="1"/>
  <c r="N251" i="1"/>
  <c r="O251" i="1" s="1"/>
  <c r="P251" i="1" s="1"/>
  <c r="Q251" i="1" s="1"/>
  <c r="U251" i="1" s="1"/>
  <c r="V251" i="1" s="1"/>
  <c r="N252" i="1"/>
  <c r="O252" i="1" s="1"/>
  <c r="P252" i="1" s="1"/>
  <c r="Q252" i="1" s="1"/>
  <c r="U252" i="1" s="1"/>
  <c r="V252" i="1" s="1"/>
  <c r="N253" i="1"/>
  <c r="O253" i="1" s="1"/>
  <c r="P253" i="1" s="1"/>
  <c r="Q253" i="1" s="1"/>
  <c r="U253" i="1" s="1"/>
  <c r="V253" i="1" s="1"/>
  <c r="N254" i="1"/>
  <c r="O254" i="1" s="1"/>
  <c r="P254" i="1" s="1"/>
  <c r="Q254" i="1" s="1"/>
  <c r="U254" i="1" s="1"/>
  <c r="V254" i="1" s="1"/>
  <c r="N255" i="1"/>
  <c r="O255" i="1" s="1"/>
  <c r="P255" i="1" s="1"/>
  <c r="Q255" i="1" s="1"/>
  <c r="U255" i="1" s="1"/>
  <c r="V255" i="1" s="1"/>
  <c r="N256" i="1"/>
  <c r="O256" i="1" s="1"/>
  <c r="P256" i="1" s="1"/>
  <c r="Q256" i="1" s="1"/>
  <c r="U256" i="1" s="1"/>
  <c r="V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P265" i="1" s="1"/>
  <c r="Q265" i="1" s="1"/>
  <c r="U265" i="1" s="1"/>
  <c r="V265" i="1" s="1"/>
  <c r="N266" i="1"/>
  <c r="O266" i="1" s="1"/>
  <c r="P266" i="1" s="1"/>
  <c r="Q266" i="1" s="1"/>
  <c r="U266" i="1" s="1"/>
  <c r="V266" i="1" s="1"/>
  <c r="N267" i="1"/>
  <c r="O267" i="1" s="1"/>
  <c r="P267" i="1" s="1"/>
  <c r="Q267" i="1" s="1"/>
  <c r="U267" i="1" s="1"/>
  <c r="V267" i="1" s="1"/>
  <c r="N268" i="1"/>
  <c r="O268" i="1" s="1"/>
  <c r="P268" i="1" s="1"/>
  <c r="Q268" i="1" s="1"/>
  <c r="U268" i="1" s="1"/>
  <c r="V268" i="1" s="1"/>
  <c r="N269" i="1"/>
  <c r="O269" i="1" s="1"/>
  <c r="P269" i="1" s="1"/>
  <c r="Q269" i="1" s="1"/>
  <c r="U269" i="1" s="1"/>
  <c r="V269" i="1" s="1"/>
  <c r="N270" i="1"/>
  <c r="O270" i="1" s="1"/>
  <c r="P270" i="1" s="1"/>
  <c r="Q270" i="1" s="1"/>
  <c r="U270" i="1" s="1"/>
  <c r="V270" i="1" s="1"/>
  <c r="N271" i="1"/>
  <c r="O271" i="1" s="1"/>
  <c r="P271" i="1" s="1"/>
  <c r="Q271" i="1" s="1"/>
  <c r="U271" i="1" s="1"/>
  <c r="V271" i="1" s="1"/>
  <c r="N272" i="1"/>
  <c r="O272" i="1" s="1"/>
  <c r="P272" i="1" s="1"/>
  <c r="Q272" i="1" s="1"/>
  <c r="U272" i="1" s="1"/>
  <c r="V272" i="1" s="1"/>
  <c r="N273" i="1"/>
  <c r="O273" i="1" s="1"/>
  <c r="P273" i="1" s="1"/>
  <c r="Q273" i="1" s="1"/>
  <c r="U273" i="1" s="1"/>
  <c r="V273" i="1" s="1"/>
  <c r="N274" i="1"/>
  <c r="O274" i="1" s="1"/>
  <c r="P274" i="1" s="1"/>
  <c r="Q274" i="1" s="1"/>
  <c r="U274" i="1" s="1"/>
  <c r="V274" i="1" s="1"/>
  <c r="N275" i="1"/>
  <c r="O275" i="1" s="1"/>
  <c r="P275" i="1" s="1"/>
  <c r="Q275" i="1" s="1"/>
  <c r="U275" i="1" s="1"/>
  <c r="V275" i="1" s="1"/>
  <c r="N276" i="1"/>
  <c r="O276" i="1" s="1"/>
  <c r="P276" i="1" s="1"/>
  <c r="Q276" i="1" s="1"/>
  <c r="U276" i="1" s="1"/>
  <c r="V276" i="1" s="1"/>
  <c r="N277" i="1"/>
  <c r="O277" i="1" s="1"/>
  <c r="P277" i="1" s="1"/>
  <c r="Q277" i="1" s="1"/>
  <c r="U277" i="1" s="1"/>
  <c r="V277" i="1" s="1"/>
  <c r="N278" i="1"/>
  <c r="O278" i="1" s="1"/>
  <c r="P278" i="1" s="1"/>
  <c r="Q278" i="1" s="1"/>
  <c r="U278" i="1" s="1"/>
  <c r="V278" i="1" s="1"/>
  <c r="N279" i="1"/>
  <c r="O279" i="1" s="1"/>
  <c r="P279" i="1" s="1"/>
  <c r="Q279" i="1" s="1"/>
  <c r="U279" i="1" s="1"/>
  <c r="V279" i="1" s="1"/>
  <c r="N280" i="1"/>
  <c r="O280" i="1" s="1"/>
  <c r="N281" i="1"/>
  <c r="O281" i="1" s="1"/>
  <c r="P281" i="1" s="1"/>
  <c r="Q281" i="1" s="1"/>
  <c r="U281" i="1" s="1"/>
  <c r="V281" i="1" s="1"/>
  <c r="N282" i="1"/>
  <c r="O282" i="1" s="1"/>
  <c r="P282" i="1" s="1"/>
  <c r="Q282" i="1" s="1"/>
  <c r="U282" i="1" s="1"/>
  <c r="V282" i="1" s="1"/>
  <c r="N283" i="1"/>
  <c r="O283" i="1" s="1"/>
  <c r="P283" i="1" s="1"/>
  <c r="Q283" i="1" s="1"/>
  <c r="U283" i="1" s="1"/>
  <c r="V283" i="1" s="1"/>
  <c r="N284" i="1"/>
  <c r="O284" i="1" s="1"/>
  <c r="P284" i="1" s="1"/>
  <c r="Q284" i="1" s="1"/>
  <c r="U284" i="1" s="1"/>
  <c r="V284" i="1" s="1"/>
  <c r="N285" i="1"/>
  <c r="O285" i="1" s="1"/>
  <c r="P285" i="1" s="1"/>
  <c r="Q285" i="1" s="1"/>
  <c r="U285" i="1" s="1"/>
  <c r="V285" i="1" s="1"/>
  <c r="N286" i="1"/>
  <c r="O286" i="1" s="1"/>
  <c r="P286" i="1" s="1"/>
  <c r="Q286" i="1" s="1"/>
  <c r="U286" i="1" s="1"/>
  <c r="V286" i="1" s="1"/>
  <c r="N287" i="1"/>
  <c r="O287" i="1" s="1"/>
  <c r="P287" i="1" s="1"/>
  <c r="Q287" i="1" s="1"/>
  <c r="U287" i="1" s="1"/>
  <c r="V287" i="1" s="1"/>
  <c r="N288" i="1"/>
  <c r="O288" i="1" s="1"/>
  <c r="P288" i="1" s="1"/>
  <c r="Q288" i="1" s="1"/>
  <c r="U288" i="1" s="1"/>
  <c r="V288" i="1" s="1"/>
  <c r="N289" i="1"/>
  <c r="O289" i="1" s="1"/>
  <c r="P289" i="1" s="1"/>
  <c r="Q289" i="1" s="1"/>
  <c r="U289" i="1" s="1"/>
  <c r="V289" i="1" s="1"/>
  <c r="N290" i="1"/>
  <c r="O290" i="1" s="1"/>
  <c r="P290" i="1" s="1"/>
  <c r="Q290" i="1" s="1"/>
  <c r="U290" i="1" s="1"/>
  <c r="V290" i="1" s="1"/>
  <c r="N291" i="1"/>
  <c r="O291" i="1" s="1"/>
  <c r="P291" i="1" s="1"/>
  <c r="Q291" i="1" s="1"/>
  <c r="U291" i="1" s="1"/>
  <c r="V291" i="1" s="1"/>
  <c r="N292" i="1"/>
  <c r="O292" i="1" s="1"/>
  <c r="P292" i="1" s="1"/>
  <c r="Q292" i="1" s="1"/>
  <c r="U292" i="1" s="1"/>
  <c r="V292" i="1" s="1"/>
  <c r="N293" i="1"/>
  <c r="O293" i="1" s="1"/>
  <c r="P293" i="1" s="1"/>
  <c r="Q293" i="1" s="1"/>
  <c r="U293" i="1" s="1"/>
  <c r="V293" i="1" s="1"/>
  <c r="N294" i="1"/>
  <c r="O294" i="1" s="1"/>
  <c r="P294" i="1" s="1"/>
  <c r="Q294" i="1" s="1"/>
  <c r="U294" i="1" s="1"/>
  <c r="V294" i="1" s="1"/>
  <c r="N295" i="1"/>
  <c r="O295" i="1" s="1"/>
  <c r="P295" i="1" s="1"/>
  <c r="Q295" i="1" s="1"/>
  <c r="U295" i="1" s="1"/>
  <c r="V295" i="1" s="1"/>
  <c r="N296" i="1"/>
  <c r="O296" i="1" s="1"/>
  <c r="P296" i="1" s="1"/>
  <c r="Q296" i="1" s="1"/>
  <c r="U296" i="1" s="1"/>
  <c r="V296" i="1" s="1"/>
  <c r="N297" i="1"/>
  <c r="O297" i="1" s="1"/>
  <c r="P297" i="1" s="1"/>
  <c r="Q297" i="1" s="1"/>
  <c r="U297" i="1" s="1"/>
  <c r="V297" i="1" s="1"/>
  <c r="N298" i="1"/>
  <c r="O298" i="1" s="1"/>
  <c r="P298" i="1" s="1"/>
  <c r="Q298" i="1" s="1"/>
  <c r="U298" i="1" s="1"/>
  <c r="V298" i="1" s="1"/>
  <c r="N299" i="1"/>
  <c r="O299" i="1" s="1"/>
  <c r="P299" i="1" s="1"/>
  <c r="Q299" i="1" s="1"/>
  <c r="U299" i="1" s="1"/>
  <c r="V299" i="1" s="1"/>
  <c r="N300" i="1"/>
  <c r="O300" i="1" s="1"/>
  <c r="P300" i="1" s="1"/>
  <c r="Q300" i="1" s="1"/>
  <c r="U300" i="1" s="1"/>
  <c r="V300" i="1" s="1"/>
  <c r="N301" i="1"/>
  <c r="O301" i="1" s="1"/>
  <c r="P301" i="1" s="1"/>
  <c r="Q301" i="1" s="1"/>
  <c r="U301" i="1" s="1"/>
  <c r="V301" i="1" s="1"/>
  <c r="N302" i="1"/>
  <c r="O302" i="1" s="1"/>
  <c r="P302" i="1" s="1"/>
  <c r="Q302" i="1" s="1"/>
  <c r="U302" i="1" s="1"/>
  <c r="V302" i="1" s="1"/>
  <c r="N303" i="1"/>
  <c r="O303" i="1" s="1"/>
  <c r="P303" i="1" s="1"/>
  <c r="Q303" i="1" s="1"/>
  <c r="U303" i="1" s="1"/>
  <c r="V303" i="1" s="1"/>
  <c r="N304" i="1"/>
  <c r="O304" i="1" s="1"/>
  <c r="P304" i="1" s="1"/>
  <c r="Q304" i="1" s="1"/>
  <c r="U304" i="1" s="1"/>
  <c r="V304" i="1" s="1"/>
  <c r="N305" i="1"/>
  <c r="O305" i="1" s="1"/>
  <c r="P305" i="1" s="1"/>
  <c r="Q305" i="1" s="1"/>
  <c r="U305" i="1" s="1"/>
  <c r="V305" i="1" s="1"/>
  <c r="N306" i="1"/>
  <c r="O306" i="1" s="1"/>
  <c r="P306" i="1" s="1"/>
  <c r="Q306" i="1" s="1"/>
  <c r="U306" i="1" s="1"/>
  <c r="V306" i="1" s="1"/>
  <c r="N307" i="1"/>
  <c r="O307" i="1" s="1"/>
  <c r="P307" i="1" s="1"/>
  <c r="Q307" i="1" s="1"/>
  <c r="U307" i="1" s="1"/>
  <c r="V307" i="1" s="1"/>
  <c r="N308" i="1"/>
  <c r="O308" i="1" s="1"/>
  <c r="P308" i="1" s="1"/>
  <c r="Q308" i="1" s="1"/>
  <c r="U308" i="1" s="1"/>
  <c r="V308" i="1" s="1"/>
  <c r="N309" i="1"/>
  <c r="O309" i="1" s="1"/>
  <c r="P309" i="1" s="1"/>
  <c r="Q309" i="1" s="1"/>
  <c r="U309" i="1" s="1"/>
  <c r="V309" i="1" s="1"/>
  <c r="N310" i="1"/>
  <c r="O310" i="1" s="1"/>
  <c r="P310" i="1" s="1"/>
  <c r="Q310" i="1" s="1"/>
  <c r="U310" i="1" s="1"/>
  <c r="V310" i="1" s="1"/>
  <c r="N311" i="1"/>
  <c r="O311" i="1" s="1"/>
  <c r="P311" i="1" s="1"/>
  <c r="Q311" i="1" s="1"/>
  <c r="U311" i="1" s="1"/>
  <c r="V311" i="1" s="1"/>
  <c r="N312" i="1"/>
  <c r="O312" i="1" s="1"/>
  <c r="P312" i="1" s="1"/>
  <c r="Q312" i="1" s="1"/>
  <c r="U312" i="1" s="1"/>
  <c r="V312" i="1" s="1"/>
  <c r="N313" i="1"/>
  <c r="O313" i="1" s="1"/>
  <c r="P313" i="1" s="1"/>
  <c r="Q313" i="1" s="1"/>
  <c r="U313" i="1" s="1"/>
  <c r="V313" i="1" s="1"/>
  <c r="N314" i="1"/>
  <c r="O314" i="1" s="1"/>
  <c r="P314" i="1" s="1"/>
  <c r="Q314" i="1" s="1"/>
  <c r="U314" i="1" s="1"/>
  <c r="V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P333" i="1" s="1"/>
  <c r="Q333" i="1" s="1"/>
  <c r="U333" i="1" s="1"/>
  <c r="V333" i="1" s="1"/>
  <c r="N334" i="1"/>
  <c r="O334" i="1" s="1"/>
  <c r="P334" i="1" s="1"/>
  <c r="Q334" i="1" s="1"/>
  <c r="U334" i="1" s="1"/>
  <c r="V334" i="1" s="1"/>
  <c r="N335" i="1"/>
  <c r="O335" i="1" s="1"/>
  <c r="P335" i="1" s="1"/>
  <c r="Q335" i="1" s="1"/>
  <c r="U335" i="1" s="1"/>
  <c r="V335" i="1" s="1"/>
  <c r="N336" i="1"/>
  <c r="O336" i="1" s="1"/>
  <c r="P336" i="1" s="1"/>
  <c r="Q336" i="1" s="1"/>
  <c r="U336" i="1" s="1"/>
  <c r="V336" i="1" s="1"/>
  <c r="N337" i="1"/>
  <c r="O337" i="1" s="1"/>
  <c r="P337" i="1" s="1"/>
  <c r="Q337" i="1" s="1"/>
  <c r="U337" i="1" s="1"/>
  <c r="V337" i="1" s="1"/>
  <c r="N338" i="1"/>
  <c r="O338" i="1" s="1"/>
  <c r="P338" i="1" s="1"/>
  <c r="Q338" i="1" s="1"/>
  <c r="U338" i="1" s="1"/>
  <c r="V338" i="1" s="1"/>
  <c r="N339" i="1"/>
  <c r="O339" i="1" s="1"/>
  <c r="P339" i="1" s="1"/>
  <c r="Q339" i="1" s="1"/>
  <c r="U339" i="1" s="1"/>
  <c r="V339" i="1" s="1"/>
  <c r="N340" i="1"/>
  <c r="O340" i="1" s="1"/>
  <c r="P340" i="1" s="1"/>
  <c r="Q340" i="1" s="1"/>
  <c r="U340" i="1" s="1"/>
  <c r="V340" i="1" s="1"/>
  <c r="N341" i="1"/>
  <c r="O341" i="1" s="1"/>
  <c r="P341" i="1" s="1"/>
  <c r="Q341" i="1" s="1"/>
  <c r="U341" i="1" s="1"/>
  <c r="V341" i="1" s="1"/>
  <c r="N342" i="1"/>
  <c r="O342" i="1" s="1"/>
  <c r="P342" i="1" s="1"/>
  <c r="Q342" i="1" s="1"/>
  <c r="U342" i="1" s="1"/>
  <c r="V342" i="1" s="1"/>
  <c r="N343" i="1"/>
  <c r="O343" i="1" s="1"/>
  <c r="P343" i="1" s="1"/>
  <c r="Q343" i="1" s="1"/>
  <c r="U343" i="1" s="1"/>
  <c r="V343" i="1" s="1"/>
  <c r="N344" i="1"/>
  <c r="O344" i="1" s="1"/>
  <c r="P344" i="1" s="1"/>
  <c r="Q344" i="1" s="1"/>
  <c r="U344" i="1" s="1"/>
  <c r="V344" i="1" s="1"/>
  <c r="N345" i="1"/>
  <c r="O345" i="1" s="1"/>
  <c r="P345" i="1" s="1"/>
  <c r="Q345" i="1" s="1"/>
  <c r="U345" i="1" s="1"/>
  <c r="V345" i="1" s="1"/>
  <c r="N346" i="1"/>
  <c r="O346" i="1" s="1"/>
  <c r="P346" i="1" s="1"/>
  <c r="Q346" i="1" s="1"/>
  <c r="U346" i="1" s="1"/>
  <c r="V346" i="1" s="1"/>
  <c r="N347" i="1"/>
  <c r="O347" i="1" s="1"/>
  <c r="P347" i="1" s="1"/>
  <c r="Q347" i="1" s="1"/>
  <c r="U347" i="1" s="1"/>
  <c r="V347" i="1" s="1"/>
  <c r="N348" i="1"/>
  <c r="O348" i="1" s="1"/>
  <c r="P348" i="1" s="1"/>
  <c r="Q348" i="1" s="1"/>
  <c r="U348" i="1" s="1"/>
  <c r="V348" i="1" s="1"/>
  <c r="N349" i="1"/>
  <c r="O349" i="1" s="1"/>
  <c r="P349" i="1" s="1"/>
  <c r="Q349" i="1" s="1"/>
  <c r="U349" i="1" s="1"/>
  <c r="V349" i="1" s="1"/>
  <c r="N350" i="1"/>
  <c r="O350" i="1" s="1"/>
  <c r="P350" i="1" s="1"/>
  <c r="Q350" i="1" s="1"/>
  <c r="U350" i="1" s="1"/>
  <c r="V350" i="1" s="1"/>
  <c r="N351" i="1"/>
  <c r="O351" i="1" s="1"/>
  <c r="P351" i="1" s="1"/>
  <c r="Q351" i="1" s="1"/>
  <c r="U351" i="1" s="1"/>
  <c r="V351" i="1" s="1"/>
  <c r="N352" i="1"/>
  <c r="O352" i="1" s="1"/>
  <c r="P352" i="1" s="1"/>
  <c r="Q352" i="1" s="1"/>
  <c r="U352" i="1" s="1"/>
  <c r="V352" i="1" s="1"/>
  <c r="N353" i="1"/>
  <c r="O353" i="1" s="1"/>
  <c r="P353" i="1" s="1"/>
  <c r="Q353" i="1" s="1"/>
  <c r="U353" i="1" s="1"/>
  <c r="V353" i="1" s="1"/>
  <c r="N354" i="1"/>
  <c r="O354" i="1" s="1"/>
  <c r="P354" i="1" s="1"/>
  <c r="Q354" i="1" s="1"/>
  <c r="U354" i="1" s="1"/>
  <c r="V354" i="1" s="1"/>
  <c r="N355" i="1"/>
  <c r="O355" i="1" s="1"/>
  <c r="P355" i="1" s="1"/>
  <c r="Q355" i="1" s="1"/>
  <c r="U355" i="1" s="1"/>
  <c r="V355" i="1" s="1"/>
  <c r="N356" i="1"/>
  <c r="O356" i="1" s="1"/>
  <c r="P356" i="1" s="1"/>
  <c r="Q356" i="1" s="1"/>
  <c r="U356" i="1" s="1"/>
  <c r="V356" i="1" s="1"/>
  <c r="N357" i="1"/>
  <c r="O357" i="1" s="1"/>
  <c r="P357" i="1" s="1"/>
  <c r="Q357" i="1" s="1"/>
  <c r="U357" i="1" s="1"/>
  <c r="V357" i="1" s="1"/>
  <c r="N358" i="1"/>
  <c r="O358" i="1" s="1"/>
  <c r="P358" i="1" s="1"/>
  <c r="Q358" i="1" s="1"/>
  <c r="U358" i="1" s="1"/>
  <c r="V358" i="1" s="1"/>
  <c r="N359" i="1"/>
  <c r="O359" i="1" s="1"/>
  <c r="P359" i="1" s="1"/>
  <c r="Q359" i="1" s="1"/>
  <c r="U359" i="1" s="1"/>
  <c r="V359" i="1" s="1"/>
  <c r="N360" i="1"/>
  <c r="O360" i="1" s="1"/>
  <c r="P360" i="1" s="1"/>
  <c r="Q360" i="1" s="1"/>
  <c r="U360" i="1" s="1"/>
  <c r="V360" i="1" s="1"/>
  <c r="N361" i="1"/>
  <c r="O361" i="1" s="1"/>
  <c r="P361" i="1" s="1"/>
  <c r="Q361" i="1" s="1"/>
  <c r="U361" i="1" s="1"/>
  <c r="V361" i="1" s="1"/>
  <c r="N362" i="1"/>
  <c r="O362" i="1" s="1"/>
  <c r="P362" i="1" s="1"/>
  <c r="Q362" i="1" s="1"/>
  <c r="U362" i="1" s="1"/>
  <c r="V362" i="1" s="1"/>
  <c r="N363" i="1"/>
  <c r="O363" i="1" s="1"/>
  <c r="P363" i="1" s="1"/>
  <c r="Q363" i="1" s="1"/>
  <c r="U363" i="1" s="1"/>
  <c r="V363" i="1" s="1"/>
  <c r="N364" i="1"/>
  <c r="O364" i="1" s="1"/>
  <c r="P364" i="1" s="1"/>
  <c r="Q364" i="1" s="1"/>
  <c r="U364" i="1" s="1"/>
  <c r="V364" i="1" s="1"/>
  <c r="N365" i="1"/>
  <c r="O365" i="1" s="1"/>
  <c r="P365" i="1" s="1"/>
  <c r="Q365" i="1" s="1"/>
  <c r="U365" i="1" s="1"/>
  <c r="V365" i="1" s="1"/>
  <c r="N366" i="1"/>
  <c r="O366" i="1" s="1"/>
  <c r="P366" i="1" s="1"/>
  <c r="Q366" i="1" s="1"/>
  <c r="U366" i="1" s="1"/>
  <c r="V366" i="1" s="1"/>
  <c r="N367" i="1"/>
  <c r="O367" i="1" s="1"/>
  <c r="P367" i="1" s="1"/>
  <c r="Q367" i="1" s="1"/>
  <c r="U367" i="1" s="1"/>
  <c r="V367" i="1" s="1"/>
  <c r="N368" i="1"/>
  <c r="O368" i="1" s="1"/>
  <c r="P368" i="1" s="1"/>
  <c r="Q368" i="1" s="1"/>
  <c r="U368" i="1" s="1"/>
  <c r="V368" i="1" s="1"/>
  <c r="N369" i="1"/>
  <c r="O369" i="1" s="1"/>
  <c r="P369" i="1" s="1"/>
  <c r="Q369" i="1" s="1"/>
  <c r="U369" i="1" s="1"/>
  <c r="V369" i="1" s="1"/>
  <c r="N370" i="1"/>
  <c r="O370" i="1" s="1"/>
  <c r="P370" i="1" s="1"/>
  <c r="Q370" i="1" s="1"/>
  <c r="U370" i="1" s="1"/>
  <c r="V370" i="1" s="1"/>
  <c r="N371" i="1"/>
  <c r="O371" i="1" s="1"/>
  <c r="P371" i="1" s="1"/>
  <c r="Q371" i="1" s="1"/>
  <c r="U371" i="1" s="1"/>
  <c r="V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P426" i="1" s="1"/>
  <c r="Q426" i="1" s="1"/>
  <c r="U426" i="1" s="1"/>
  <c r="V426" i="1" s="1"/>
  <c r="N427" i="1"/>
  <c r="O427" i="1" s="1"/>
  <c r="P427" i="1" s="1"/>
  <c r="Q427" i="1" s="1"/>
  <c r="U427" i="1" s="1"/>
  <c r="V427" i="1" s="1"/>
  <c r="N428" i="1"/>
  <c r="O428" i="1" s="1"/>
  <c r="P428" i="1" s="1"/>
  <c r="Q428" i="1" s="1"/>
  <c r="U428" i="1" s="1"/>
  <c r="V428" i="1" s="1"/>
  <c r="N429" i="1"/>
  <c r="O429" i="1" s="1"/>
  <c r="P429" i="1" s="1"/>
  <c r="Q429" i="1" s="1"/>
  <c r="U429" i="1" s="1"/>
  <c r="V429" i="1" s="1"/>
  <c r="N430" i="1"/>
  <c r="O430" i="1" s="1"/>
  <c r="P430" i="1" s="1"/>
  <c r="Q430" i="1" s="1"/>
  <c r="U430" i="1" s="1"/>
  <c r="V430" i="1" s="1"/>
  <c r="N431" i="1"/>
  <c r="O431" i="1" s="1"/>
  <c r="P431" i="1" s="1"/>
  <c r="Q431" i="1" s="1"/>
  <c r="U431" i="1" s="1"/>
  <c r="V431" i="1" s="1"/>
  <c r="N432" i="1"/>
  <c r="O432" i="1" s="1"/>
  <c r="P432" i="1" s="1"/>
  <c r="Q432" i="1" s="1"/>
  <c r="U432" i="1" s="1"/>
  <c r="V432" i="1" s="1"/>
  <c r="N433" i="1"/>
  <c r="O433" i="1" s="1"/>
  <c r="P433" i="1" s="1"/>
  <c r="Q433" i="1" s="1"/>
  <c r="U433" i="1" s="1"/>
  <c r="V433" i="1" s="1"/>
  <c r="N434" i="1"/>
  <c r="O434" i="1" s="1"/>
  <c r="P434" i="1" s="1"/>
  <c r="Q434" i="1" s="1"/>
  <c r="U434" i="1" s="1"/>
  <c r="V434" i="1" s="1"/>
  <c r="N435" i="1"/>
  <c r="O435" i="1" s="1"/>
  <c r="P435" i="1" s="1"/>
  <c r="Q435" i="1" s="1"/>
  <c r="U435" i="1" s="1"/>
  <c r="V435" i="1" s="1"/>
  <c r="N436" i="1"/>
  <c r="O436" i="1" s="1"/>
  <c r="P436" i="1" s="1"/>
  <c r="Q436" i="1" s="1"/>
  <c r="U436" i="1" s="1"/>
  <c r="V436" i="1" s="1"/>
  <c r="N437" i="1"/>
  <c r="O437" i="1" s="1"/>
  <c r="P437" i="1" s="1"/>
  <c r="Q437" i="1" s="1"/>
  <c r="U437" i="1" s="1"/>
  <c r="V437" i="1" s="1"/>
  <c r="N438" i="1"/>
  <c r="O438" i="1" s="1"/>
  <c r="N439" i="1"/>
  <c r="O439" i="1" s="1"/>
  <c r="P439" i="1" s="1"/>
  <c r="Q439" i="1" s="1"/>
  <c r="U439" i="1" s="1"/>
  <c r="V439" i="1" s="1"/>
  <c r="N440" i="1"/>
  <c r="O440" i="1" s="1"/>
  <c r="P440" i="1" s="1"/>
  <c r="Q440" i="1" s="1"/>
  <c r="U440" i="1" s="1"/>
  <c r="V440" i="1" s="1"/>
  <c r="N441" i="1"/>
  <c r="O441" i="1" s="1"/>
  <c r="P441" i="1" s="1"/>
  <c r="Q441" i="1" s="1"/>
  <c r="U441" i="1" s="1"/>
  <c r="V441" i="1" s="1"/>
  <c r="N442" i="1"/>
  <c r="O442" i="1" s="1"/>
  <c r="P442" i="1" s="1"/>
  <c r="Q442" i="1" s="1"/>
  <c r="U442" i="1" s="1"/>
  <c r="V442" i="1" s="1"/>
  <c r="N443" i="1"/>
  <c r="O443" i="1" s="1"/>
  <c r="P443" i="1" s="1"/>
  <c r="Q443" i="1" s="1"/>
  <c r="U443" i="1" s="1"/>
  <c r="V443" i="1" s="1"/>
  <c r="N444" i="1"/>
  <c r="O444" i="1" s="1"/>
  <c r="P444" i="1" s="1"/>
  <c r="Q444" i="1" s="1"/>
  <c r="U444" i="1" s="1"/>
  <c r="V444" i="1" s="1"/>
  <c r="N445" i="1"/>
  <c r="O445" i="1" s="1"/>
  <c r="P445" i="1" s="1"/>
  <c r="Q445" i="1" s="1"/>
  <c r="U445" i="1" s="1"/>
  <c r="V445" i="1" s="1"/>
  <c r="N446" i="1"/>
  <c r="O446" i="1" s="1"/>
  <c r="P446" i="1" s="1"/>
  <c r="Q446" i="1" s="1"/>
  <c r="U446" i="1" s="1"/>
  <c r="V446" i="1" s="1"/>
  <c r="N447" i="1"/>
  <c r="O447" i="1" s="1"/>
  <c r="P447" i="1" s="1"/>
  <c r="Q447" i="1" s="1"/>
  <c r="U447" i="1" s="1"/>
  <c r="V447" i="1" s="1"/>
  <c r="N448" i="1"/>
  <c r="O448" i="1" s="1"/>
  <c r="P448" i="1" s="1"/>
  <c r="Q448" i="1" s="1"/>
  <c r="U448" i="1" s="1"/>
  <c r="V448" i="1" s="1"/>
  <c r="N449" i="1"/>
  <c r="O449" i="1" s="1"/>
  <c r="P449" i="1" s="1"/>
  <c r="Q449" i="1" s="1"/>
  <c r="U449" i="1" s="1"/>
  <c r="V449" i="1" s="1"/>
  <c r="N450" i="1"/>
  <c r="O450" i="1" s="1"/>
  <c r="P450" i="1" s="1"/>
  <c r="Q450" i="1" s="1"/>
  <c r="U450" i="1" s="1"/>
  <c r="V450" i="1" s="1"/>
  <c r="N451" i="1"/>
  <c r="O451" i="1" s="1"/>
  <c r="P451" i="1" s="1"/>
  <c r="Q451" i="1" s="1"/>
  <c r="U451" i="1" s="1"/>
  <c r="V451" i="1" s="1"/>
  <c r="N452" i="1"/>
  <c r="O452" i="1" s="1"/>
  <c r="P452" i="1" s="1"/>
  <c r="Q452" i="1" s="1"/>
  <c r="U452" i="1" s="1"/>
  <c r="V452" i="1" s="1"/>
  <c r="N453" i="1"/>
  <c r="O453" i="1" s="1"/>
  <c r="P453" i="1" s="1"/>
  <c r="Q453" i="1" s="1"/>
  <c r="U453" i="1" s="1"/>
  <c r="V453" i="1" s="1"/>
  <c r="N454" i="1"/>
  <c r="O454" i="1" s="1"/>
  <c r="P454" i="1" s="1"/>
  <c r="Q454" i="1" s="1"/>
  <c r="U454" i="1" s="1"/>
  <c r="V454" i="1" s="1"/>
  <c r="N455" i="1"/>
  <c r="O455" i="1" s="1"/>
  <c r="P455" i="1" s="1"/>
  <c r="Q455" i="1" s="1"/>
  <c r="U455" i="1" s="1"/>
  <c r="V455" i="1" s="1"/>
  <c r="N456" i="1"/>
  <c r="O456" i="1" s="1"/>
  <c r="P456" i="1" s="1"/>
  <c r="Q456" i="1" s="1"/>
  <c r="U456" i="1" s="1"/>
  <c r="V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P501" i="1" s="1"/>
  <c r="Q501" i="1" s="1"/>
  <c r="U501" i="1" s="1"/>
  <c r="V501" i="1" s="1"/>
  <c r="N502" i="1"/>
  <c r="O502" i="1" s="1"/>
  <c r="P502" i="1" s="1"/>
  <c r="Q502" i="1" s="1"/>
  <c r="U502" i="1" s="1"/>
  <c r="V502" i="1" s="1"/>
  <c r="N503" i="1"/>
  <c r="O503" i="1" s="1"/>
  <c r="P503" i="1" s="1"/>
  <c r="Q503" i="1" s="1"/>
  <c r="U503" i="1" s="1"/>
  <c r="V503" i="1" s="1"/>
  <c r="N504" i="1"/>
  <c r="O504" i="1" s="1"/>
  <c r="P504" i="1" s="1"/>
  <c r="Q504" i="1" s="1"/>
  <c r="U504" i="1" s="1"/>
  <c r="V504" i="1" s="1"/>
  <c r="N505" i="1"/>
  <c r="O505" i="1" s="1"/>
  <c r="P505" i="1" s="1"/>
  <c r="Q505" i="1" s="1"/>
  <c r="U505" i="1" s="1"/>
  <c r="V505" i="1" s="1"/>
  <c r="N506" i="1"/>
  <c r="O506" i="1" s="1"/>
  <c r="P506" i="1" s="1"/>
  <c r="Q506" i="1" s="1"/>
  <c r="U506" i="1" s="1"/>
  <c r="V506" i="1" s="1"/>
  <c r="N507" i="1"/>
  <c r="O507" i="1" s="1"/>
  <c r="P507" i="1" s="1"/>
  <c r="Q507" i="1" s="1"/>
  <c r="U507" i="1" s="1"/>
  <c r="V507" i="1" s="1"/>
  <c r="N508" i="1"/>
  <c r="O508" i="1" s="1"/>
  <c r="P508" i="1" s="1"/>
  <c r="Q508" i="1" s="1"/>
  <c r="U508" i="1" s="1"/>
  <c r="V508" i="1" s="1"/>
  <c r="N509" i="1"/>
  <c r="O509" i="1" s="1"/>
  <c r="P509" i="1" s="1"/>
  <c r="Q509" i="1" s="1"/>
  <c r="U509" i="1" s="1"/>
  <c r="V509" i="1" s="1"/>
  <c r="N510" i="1"/>
  <c r="O510" i="1" s="1"/>
  <c r="P510" i="1" s="1"/>
  <c r="Q510" i="1" s="1"/>
  <c r="U510" i="1" s="1"/>
  <c r="V510" i="1" s="1"/>
  <c r="N511" i="1"/>
  <c r="O511" i="1" s="1"/>
  <c r="P511" i="1" s="1"/>
  <c r="Q511" i="1" s="1"/>
  <c r="U511" i="1" s="1"/>
  <c r="V511" i="1" s="1"/>
  <c r="N512" i="1"/>
  <c r="O512" i="1" s="1"/>
  <c r="P512" i="1" s="1"/>
  <c r="Q512" i="1" s="1"/>
  <c r="U512" i="1" s="1"/>
  <c r="V512" i="1" s="1"/>
  <c r="N513" i="1"/>
  <c r="O513" i="1" s="1"/>
  <c r="P513" i="1" s="1"/>
  <c r="Q513" i="1" s="1"/>
  <c r="U513" i="1" s="1"/>
  <c r="V513" i="1" s="1"/>
  <c r="N514" i="1"/>
  <c r="O514" i="1" s="1"/>
  <c r="P514" i="1" s="1"/>
  <c r="Q514" i="1" s="1"/>
  <c r="U514" i="1" s="1"/>
  <c r="V514" i="1" s="1"/>
  <c r="N515" i="1"/>
  <c r="O515" i="1" s="1"/>
  <c r="P515" i="1" s="1"/>
  <c r="Q515" i="1" s="1"/>
  <c r="U515" i="1" s="1"/>
  <c r="V515" i="1" s="1"/>
  <c r="N516" i="1"/>
  <c r="O516" i="1" s="1"/>
  <c r="P516" i="1" s="1"/>
  <c r="Q516" i="1" s="1"/>
  <c r="U516" i="1" s="1"/>
  <c r="V516" i="1" s="1"/>
  <c r="N517" i="1"/>
  <c r="O517" i="1" s="1"/>
  <c r="P517" i="1" s="1"/>
  <c r="Q517" i="1" s="1"/>
  <c r="U517" i="1" s="1"/>
  <c r="V517" i="1" s="1"/>
  <c r="N518" i="1"/>
  <c r="O518" i="1" s="1"/>
  <c r="P518" i="1" s="1"/>
  <c r="Q518" i="1" s="1"/>
  <c r="U518" i="1" s="1"/>
  <c r="V518" i="1" s="1"/>
  <c r="N519" i="1"/>
  <c r="O519" i="1" s="1"/>
  <c r="P519" i="1" s="1"/>
  <c r="Q519" i="1" s="1"/>
  <c r="U519" i="1" s="1"/>
  <c r="V519" i="1" s="1"/>
  <c r="N520" i="1"/>
  <c r="O520" i="1" s="1"/>
  <c r="P520" i="1" s="1"/>
  <c r="Q520" i="1" s="1"/>
  <c r="U520" i="1" s="1"/>
  <c r="V520" i="1" s="1"/>
  <c r="N521" i="1"/>
  <c r="O521" i="1" s="1"/>
  <c r="P521" i="1" s="1"/>
  <c r="Q521" i="1" s="1"/>
  <c r="U521" i="1" s="1"/>
  <c r="V521" i="1" s="1"/>
  <c r="N522" i="1"/>
  <c r="O522" i="1" s="1"/>
  <c r="P522" i="1" s="1"/>
  <c r="Q522" i="1" s="1"/>
  <c r="U522" i="1" s="1"/>
  <c r="V522" i="1" s="1"/>
  <c r="N523" i="1"/>
  <c r="O523" i="1" s="1"/>
  <c r="P523" i="1" s="1"/>
  <c r="Q523" i="1" s="1"/>
  <c r="U523" i="1" s="1"/>
  <c r="V523" i="1" s="1"/>
  <c r="N524" i="1"/>
  <c r="O524" i="1" s="1"/>
  <c r="P524" i="1" s="1"/>
  <c r="Q524" i="1" s="1"/>
  <c r="U524" i="1" s="1"/>
  <c r="V524" i="1" s="1"/>
  <c r="N525" i="1"/>
  <c r="O525" i="1" s="1"/>
  <c r="P525" i="1" s="1"/>
  <c r="Q525" i="1" s="1"/>
  <c r="U525" i="1" s="1"/>
  <c r="V525" i="1" s="1"/>
  <c r="N526" i="1"/>
  <c r="O526" i="1" s="1"/>
  <c r="P526" i="1" s="1"/>
  <c r="Q526" i="1" s="1"/>
  <c r="U526" i="1" s="1"/>
  <c r="V526" i="1" s="1"/>
  <c r="N527" i="1"/>
  <c r="O527" i="1" s="1"/>
  <c r="P527" i="1" s="1"/>
  <c r="Q527" i="1" s="1"/>
  <c r="U527" i="1" s="1"/>
  <c r="V527" i="1" s="1"/>
  <c r="N528" i="1"/>
  <c r="O528" i="1" s="1"/>
  <c r="P528" i="1" s="1"/>
  <c r="Q528" i="1" s="1"/>
  <c r="U528" i="1" s="1"/>
  <c r="V528" i="1" s="1"/>
  <c r="N529" i="1"/>
  <c r="O529" i="1" s="1"/>
  <c r="P529" i="1" s="1"/>
  <c r="Q529" i="1" s="1"/>
  <c r="U529" i="1" s="1"/>
  <c r="V529" i="1" s="1"/>
  <c r="N530" i="1"/>
  <c r="O530" i="1" s="1"/>
  <c r="P530" i="1" s="1"/>
  <c r="Q530" i="1" s="1"/>
  <c r="U530" i="1" s="1"/>
  <c r="V530" i="1" s="1"/>
  <c r="N531" i="1"/>
  <c r="O531" i="1" s="1"/>
  <c r="P531" i="1" s="1"/>
  <c r="Q531" i="1" s="1"/>
  <c r="U531" i="1" s="1"/>
  <c r="V531" i="1" s="1"/>
  <c r="N532" i="1"/>
  <c r="O532" i="1" s="1"/>
  <c r="P532" i="1" s="1"/>
  <c r="Q532" i="1" s="1"/>
  <c r="U532" i="1" s="1"/>
  <c r="V532" i="1" s="1"/>
  <c r="N533" i="1"/>
  <c r="O533" i="1" s="1"/>
  <c r="P533" i="1" s="1"/>
  <c r="Q533" i="1" s="1"/>
  <c r="U533" i="1" s="1"/>
  <c r="V533" i="1" s="1"/>
  <c r="N534" i="1"/>
  <c r="O534" i="1" s="1"/>
  <c r="P534" i="1" s="1"/>
  <c r="Q534" i="1" s="1"/>
  <c r="U534" i="1" s="1"/>
  <c r="V534" i="1" s="1"/>
  <c r="N535" i="1"/>
  <c r="O535" i="1" s="1"/>
  <c r="P535" i="1" s="1"/>
  <c r="Q535" i="1" s="1"/>
  <c r="U535" i="1" s="1"/>
  <c r="V535" i="1" s="1"/>
  <c r="N536" i="1"/>
  <c r="O536" i="1" s="1"/>
  <c r="P536" i="1" s="1"/>
  <c r="Q536" i="1" s="1"/>
  <c r="U536" i="1" s="1"/>
  <c r="V536" i="1" s="1"/>
  <c r="N537" i="1"/>
  <c r="O537" i="1" s="1"/>
  <c r="P537" i="1" s="1"/>
  <c r="Q537" i="1" s="1"/>
  <c r="U537" i="1" s="1"/>
  <c r="V537" i="1" s="1"/>
  <c r="N538" i="1"/>
  <c r="O538" i="1" s="1"/>
  <c r="P538" i="1" s="1"/>
  <c r="Q538" i="1" s="1"/>
  <c r="U538" i="1" s="1"/>
  <c r="V538" i="1" s="1"/>
  <c r="N539" i="1"/>
  <c r="O539" i="1" s="1"/>
  <c r="P539" i="1" s="1"/>
  <c r="Q539" i="1" s="1"/>
  <c r="U539" i="1" s="1"/>
  <c r="V539" i="1" s="1"/>
  <c r="N540" i="1"/>
  <c r="O540" i="1" s="1"/>
  <c r="P540" i="1" s="1"/>
  <c r="Q540" i="1" s="1"/>
  <c r="U540" i="1" s="1"/>
  <c r="V540" i="1" s="1"/>
  <c r="N541" i="1"/>
  <c r="O541" i="1" s="1"/>
  <c r="P541" i="1" s="1"/>
  <c r="Q541" i="1" s="1"/>
  <c r="U541" i="1" s="1"/>
  <c r="V541" i="1" s="1"/>
  <c r="N542" i="1"/>
  <c r="O542" i="1" s="1"/>
  <c r="P542" i="1" s="1"/>
  <c r="Q542" i="1" s="1"/>
  <c r="U542" i="1" s="1"/>
  <c r="V542" i="1" s="1"/>
  <c r="N543" i="1"/>
  <c r="O543" i="1" s="1"/>
  <c r="P543" i="1" s="1"/>
  <c r="Q543" i="1" s="1"/>
  <c r="U543" i="1" s="1"/>
  <c r="V543" i="1" s="1"/>
  <c r="N544" i="1"/>
  <c r="O544" i="1" s="1"/>
  <c r="P544" i="1" s="1"/>
  <c r="Q544" i="1" s="1"/>
  <c r="U544" i="1" s="1"/>
  <c r="V544" i="1" s="1"/>
  <c r="N545" i="1"/>
  <c r="O545" i="1" s="1"/>
  <c r="P545" i="1" s="1"/>
  <c r="Q545" i="1" s="1"/>
  <c r="U545" i="1" s="1"/>
  <c r="V545" i="1" s="1"/>
  <c r="N546" i="1"/>
  <c r="O546" i="1" s="1"/>
  <c r="P546" i="1" s="1"/>
  <c r="Q546" i="1" s="1"/>
  <c r="U546" i="1" s="1"/>
  <c r="V546" i="1" s="1"/>
  <c r="N547" i="1"/>
  <c r="O547" i="1" s="1"/>
  <c r="P547" i="1" s="1"/>
  <c r="Q547" i="1" s="1"/>
  <c r="U547" i="1" s="1"/>
  <c r="V547" i="1" s="1"/>
  <c r="N548" i="1"/>
  <c r="O548" i="1" s="1"/>
  <c r="P548" i="1" s="1"/>
  <c r="Q548" i="1" s="1"/>
  <c r="U548" i="1" s="1"/>
  <c r="V548" i="1" s="1"/>
  <c r="N549" i="1"/>
  <c r="O549" i="1" s="1"/>
  <c r="P549" i="1" s="1"/>
  <c r="Q549" i="1" s="1"/>
  <c r="U549" i="1" s="1"/>
  <c r="V549" i="1" s="1"/>
  <c r="N550" i="1"/>
  <c r="O550" i="1" s="1"/>
  <c r="P550" i="1" s="1"/>
  <c r="Q550" i="1" s="1"/>
  <c r="U550" i="1" s="1"/>
  <c r="V550" i="1" s="1"/>
  <c r="N551" i="1"/>
  <c r="O551" i="1" s="1"/>
  <c r="P551" i="1" s="1"/>
  <c r="Q551" i="1" s="1"/>
  <c r="U551" i="1" s="1"/>
  <c r="V551" i="1" s="1"/>
  <c r="N552" i="1"/>
  <c r="O552" i="1" s="1"/>
  <c r="P552" i="1" s="1"/>
  <c r="Q552" i="1" s="1"/>
  <c r="U552" i="1" s="1"/>
  <c r="V552" i="1" s="1"/>
  <c r="N553" i="1"/>
  <c r="O553" i="1" s="1"/>
  <c r="P553" i="1" s="1"/>
  <c r="Q553" i="1" s="1"/>
  <c r="U553" i="1" s="1"/>
  <c r="V553" i="1" s="1"/>
  <c r="N554" i="1"/>
  <c r="O554" i="1" s="1"/>
  <c r="P554" i="1" s="1"/>
  <c r="Q554" i="1" s="1"/>
  <c r="U554" i="1" s="1"/>
  <c r="V554" i="1" s="1"/>
  <c r="N555" i="1"/>
  <c r="O555" i="1" s="1"/>
  <c r="P555" i="1" s="1"/>
  <c r="Q555" i="1" s="1"/>
  <c r="U555" i="1" s="1"/>
  <c r="V555" i="1" s="1"/>
  <c r="N556" i="1"/>
  <c r="O556" i="1" s="1"/>
  <c r="P556" i="1" s="1"/>
  <c r="Q556" i="1" s="1"/>
  <c r="U556" i="1" s="1"/>
  <c r="V556" i="1" s="1"/>
  <c r="N557" i="1"/>
  <c r="O557" i="1" s="1"/>
  <c r="P557" i="1" s="1"/>
  <c r="Q557" i="1" s="1"/>
  <c r="U557" i="1" s="1"/>
  <c r="V557" i="1" s="1"/>
  <c r="N558" i="1"/>
  <c r="O558" i="1" s="1"/>
  <c r="P558" i="1" s="1"/>
  <c r="Q558" i="1" s="1"/>
  <c r="U558" i="1" s="1"/>
  <c r="V558" i="1" s="1"/>
  <c r="N559" i="1"/>
  <c r="O559" i="1" s="1"/>
  <c r="P559" i="1" s="1"/>
  <c r="Q559" i="1" s="1"/>
  <c r="U559" i="1" s="1"/>
  <c r="V559" i="1" s="1"/>
  <c r="N560" i="1"/>
  <c r="O560" i="1" s="1"/>
  <c r="P560" i="1" s="1"/>
  <c r="Q560" i="1" s="1"/>
  <c r="U560" i="1" s="1"/>
  <c r="V560" i="1" s="1"/>
  <c r="N561" i="1"/>
  <c r="O561" i="1" s="1"/>
  <c r="P561" i="1" s="1"/>
  <c r="Q561" i="1" s="1"/>
  <c r="U561" i="1" s="1"/>
  <c r="V561" i="1" s="1"/>
  <c r="N562" i="1"/>
  <c r="O562" i="1" s="1"/>
  <c r="P562" i="1" s="1"/>
  <c r="Q562" i="1" s="1"/>
  <c r="U562" i="1" s="1"/>
  <c r="V562" i="1" s="1"/>
  <c r="N563" i="1"/>
  <c r="O563" i="1" s="1"/>
  <c r="P563" i="1" s="1"/>
  <c r="Q563" i="1" s="1"/>
  <c r="U563" i="1" s="1"/>
  <c r="V563" i="1" s="1"/>
  <c r="N564" i="1"/>
  <c r="O564" i="1" s="1"/>
  <c r="P564" i="1" s="1"/>
  <c r="Q564" i="1" s="1"/>
  <c r="U564" i="1" s="1"/>
  <c r="V564" i="1" s="1"/>
  <c r="N565" i="1"/>
  <c r="O565" i="1" s="1"/>
  <c r="P565" i="1" s="1"/>
  <c r="Q565" i="1" s="1"/>
  <c r="U565" i="1" s="1"/>
  <c r="V565" i="1" s="1"/>
  <c r="N566" i="1"/>
  <c r="O566" i="1" s="1"/>
  <c r="P566" i="1" s="1"/>
  <c r="Q566" i="1" s="1"/>
  <c r="U566" i="1" s="1"/>
  <c r="V566" i="1" s="1"/>
  <c r="N567" i="1"/>
  <c r="O567" i="1" s="1"/>
  <c r="P567" i="1" s="1"/>
  <c r="Q567" i="1" s="1"/>
  <c r="U567" i="1" s="1"/>
  <c r="V567" i="1" s="1"/>
  <c r="N568" i="1"/>
  <c r="O568" i="1" s="1"/>
  <c r="P568" i="1" s="1"/>
  <c r="Q568" i="1" s="1"/>
  <c r="U568" i="1" s="1"/>
  <c r="V568" i="1" s="1"/>
  <c r="N569" i="1"/>
  <c r="O569" i="1" s="1"/>
  <c r="P569" i="1" s="1"/>
  <c r="Q569" i="1" s="1"/>
  <c r="U569" i="1" s="1"/>
  <c r="V569" i="1" s="1"/>
  <c r="N570" i="1"/>
  <c r="O570" i="1" s="1"/>
  <c r="P570" i="1" s="1"/>
  <c r="Q570" i="1" s="1"/>
  <c r="U570" i="1" s="1"/>
  <c r="V570" i="1" s="1"/>
  <c r="N571" i="1"/>
  <c r="O571" i="1" s="1"/>
  <c r="P571" i="1" s="1"/>
  <c r="Q571" i="1" s="1"/>
  <c r="U571" i="1" s="1"/>
  <c r="V571" i="1" s="1"/>
  <c r="N572" i="1"/>
  <c r="O572" i="1" s="1"/>
  <c r="P572" i="1" s="1"/>
  <c r="Q572" i="1" s="1"/>
  <c r="U572" i="1" s="1"/>
  <c r="V572" i="1" s="1"/>
  <c r="N573" i="1"/>
  <c r="O573" i="1" s="1"/>
  <c r="P573" i="1" s="1"/>
  <c r="Q573" i="1" s="1"/>
  <c r="U573" i="1" s="1"/>
  <c r="V573" i="1" s="1"/>
  <c r="N574" i="1"/>
  <c r="O574" i="1" s="1"/>
  <c r="P574" i="1" s="1"/>
  <c r="Q574" i="1" s="1"/>
  <c r="U574" i="1" s="1"/>
  <c r="V574" i="1" s="1"/>
  <c r="N575" i="1"/>
  <c r="O575" i="1" s="1"/>
  <c r="P575" i="1" s="1"/>
  <c r="Q575" i="1" s="1"/>
  <c r="U575" i="1" s="1"/>
  <c r="V575" i="1" s="1"/>
  <c r="N576" i="1"/>
  <c r="O576" i="1" s="1"/>
  <c r="P576" i="1" s="1"/>
  <c r="Q576" i="1" s="1"/>
  <c r="U576" i="1" s="1"/>
  <c r="V576" i="1" s="1"/>
  <c r="N577" i="1"/>
  <c r="O577" i="1" s="1"/>
  <c r="P577" i="1" s="1"/>
  <c r="Q577" i="1" s="1"/>
  <c r="U577" i="1" s="1"/>
  <c r="V577" i="1" s="1"/>
  <c r="N578" i="1"/>
  <c r="O578" i="1" s="1"/>
  <c r="P578" i="1" s="1"/>
  <c r="Q578" i="1" s="1"/>
  <c r="U578" i="1" s="1"/>
  <c r="V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P591" i="1" s="1"/>
  <c r="Q591" i="1" s="1"/>
  <c r="U591" i="1" s="1"/>
  <c r="V591" i="1" s="1"/>
  <c r="N592" i="1"/>
  <c r="O592" i="1" s="1"/>
  <c r="P592" i="1" s="1"/>
  <c r="Q592" i="1" s="1"/>
  <c r="U592" i="1" s="1"/>
  <c r="V592" i="1" s="1"/>
  <c r="N593" i="1"/>
  <c r="O593" i="1" s="1"/>
  <c r="P593" i="1" s="1"/>
  <c r="Q593" i="1" s="1"/>
  <c r="U593" i="1" s="1"/>
  <c r="V593" i="1" s="1"/>
  <c r="N594" i="1"/>
  <c r="O594" i="1" s="1"/>
  <c r="P594" i="1" s="1"/>
  <c r="Q594" i="1" s="1"/>
  <c r="U594" i="1" s="1"/>
  <c r="V594" i="1" s="1"/>
  <c r="N595" i="1"/>
  <c r="O595" i="1" s="1"/>
  <c r="P595" i="1" s="1"/>
  <c r="Q595" i="1" s="1"/>
  <c r="U595" i="1" s="1"/>
  <c r="V595" i="1" s="1"/>
  <c r="N596" i="1"/>
  <c r="O596" i="1" s="1"/>
  <c r="N597" i="1"/>
  <c r="O597" i="1" s="1"/>
  <c r="P597" i="1" s="1"/>
  <c r="Q597" i="1" s="1"/>
  <c r="U597" i="1" s="1"/>
  <c r="V597" i="1" s="1"/>
  <c r="N598" i="1"/>
  <c r="O598" i="1" s="1"/>
  <c r="P598" i="1" s="1"/>
  <c r="Q598" i="1" s="1"/>
  <c r="U598" i="1" s="1"/>
  <c r="V598" i="1" s="1"/>
  <c r="N599" i="1"/>
  <c r="O599" i="1" s="1"/>
  <c r="P599" i="1" s="1"/>
  <c r="Q599" i="1" s="1"/>
  <c r="U599" i="1" s="1"/>
  <c r="V599" i="1" s="1"/>
  <c r="N600" i="1"/>
  <c r="O600" i="1" s="1"/>
  <c r="P600" i="1" s="1"/>
  <c r="Q600" i="1" s="1"/>
  <c r="U600" i="1" s="1"/>
  <c r="V600" i="1" s="1"/>
  <c r="N601" i="1"/>
  <c r="O601" i="1" s="1"/>
  <c r="P601" i="1" s="1"/>
  <c r="Q601" i="1" s="1"/>
  <c r="U601" i="1" s="1"/>
  <c r="V601" i="1" s="1"/>
  <c r="N602" i="1"/>
  <c r="O602" i="1" s="1"/>
  <c r="P602" i="1" s="1"/>
  <c r="Q602" i="1" s="1"/>
  <c r="U602" i="1" s="1"/>
  <c r="V602" i="1" s="1"/>
  <c r="N603" i="1"/>
  <c r="O603" i="1" s="1"/>
  <c r="P603" i="1" s="1"/>
  <c r="Q603" i="1" s="1"/>
  <c r="U603" i="1" s="1"/>
  <c r="V603" i="1" s="1"/>
  <c r="N604" i="1"/>
  <c r="O604" i="1" s="1"/>
  <c r="P604" i="1" s="1"/>
  <c r="Q604" i="1" s="1"/>
  <c r="U604" i="1" s="1"/>
  <c r="V604" i="1" s="1"/>
  <c r="N605" i="1"/>
  <c r="O605" i="1" s="1"/>
  <c r="P605" i="1" s="1"/>
  <c r="Q605" i="1" s="1"/>
  <c r="U605" i="1" s="1"/>
  <c r="V605" i="1" s="1"/>
  <c r="N606" i="1"/>
  <c r="O606" i="1" s="1"/>
  <c r="P606" i="1" s="1"/>
  <c r="Q606" i="1" s="1"/>
  <c r="U606" i="1" s="1"/>
  <c r="V606" i="1" s="1"/>
  <c r="N607" i="1"/>
  <c r="O607" i="1" s="1"/>
  <c r="P607" i="1" s="1"/>
  <c r="Q607" i="1" s="1"/>
  <c r="U607" i="1" s="1"/>
  <c r="V607" i="1" s="1"/>
  <c r="N608" i="1"/>
  <c r="O608" i="1" s="1"/>
  <c r="P608" i="1" s="1"/>
  <c r="Q608" i="1" s="1"/>
  <c r="U608" i="1" s="1"/>
  <c r="V608" i="1" s="1"/>
  <c r="N609" i="1"/>
  <c r="O609" i="1" s="1"/>
  <c r="P609" i="1" s="1"/>
  <c r="Q609" i="1" s="1"/>
  <c r="U609" i="1" s="1"/>
  <c r="V609" i="1" s="1"/>
  <c r="N610" i="1"/>
  <c r="O610" i="1" s="1"/>
  <c r="P610" i="1" s="1"/>
  <c r="Q610" i="1" s="1"/>
  <c r="U610" i="1" s="1"/>
  <c r="V610" i="1" s="1"/>
  <c r="N611" i="1"/>
  <c r="O611" i="1" s="1"/>
  <c r="P611" i="1" s="1"/>
  <c r="Q611" i="1" s="1"/>
  <c r="U611" i="1" s="1"/>
  <c r="V611" i="1" s="1"/>
  <c r="N612" i="1"/>
  <c r="O612" i="1" s="1"/>
  <c r="P612" i="1" s="1"/>
  <c r="Q612" i="1" s="1"/>
  <c r="U612" i="1" s="1"/>
  <c r="V612" i="1" s="1"/>
  <c r="N613" i="1"/>
  <c r="O613" i="1" s="1"/>
  <c r="P613" i="1" s="1"/>
  <c r="Q613" i="1" s="1"/>
  <c r="U613" i="1" s="1"/>
  <c r="V613" i="1" s="1"/>
  <c r="N614" i="1"/>
  <c r="O614" i="1" s="1"/>
  <c r="P614" i="1" s="1"/>
  <c r="Q614" i="1" s="1"/>
  <c r="U614" i="1" s="1"/>
  <c r="V614" i="1" s="1"/>
  <c r="N615" i="1"/>
  <c r="O615" i="1" s="1"/>
  <c r="P615" i="1" s="1"/>
  <c r="Q615" i="1" s="1"/>
  <c r="U615" i="1" s="1"/>
  <c r="V615" i="1" s="1"/>
  <c r="N616" i="1"/>
  <c r="O616" i="1" s="1"/>
  <c r="P616" i="1" s="1"/>
  <c r="Q616" i="1" s="1"/>
  <c r="U616" i="1" s="1"/>
  <c r="V616" i="1" s="1"/>
  <c r="N617" i="1"/>
  <c r="O617" i="1" s="1"/>
  <c r="P617" i="1" s="1"/>
  <c r="Q617" i="1" s="1"/>
  <c r="U617" i="1" s="1"/>
  <c r="V617" i="1" s="1"/>
  <c r="N618" i="1"/>
  <c r="O618" i="1" s="1"/>
  <c r="P618" i="1" s="1"/>
  <c r="Q618" i="1" s="1"/>
  <c r="U618" i="1" s="1"/>
  <c r="V618" i="1" s="1"/>
  <c r="N619" i="1"/>
  <c r="O619" i="1" s="1"/>
  <c r="P619" i="1" s="1"/>
  <c r="Q619" i="1" s="1"/>
  <c r="U619" i="1" s="1"/>
  <c r="V619" i="1" s="1"/>
  <c r="N620" i="1"/>
  <c r="O620" i="1" s="1"/>
  <c r="P620" i="1" s="1"/>
  <c r="Q620" i="1" s="1"/>
  <c r="U620" i="1" s="1"/>
  <c r="V620" i="1" s="1"/>
  <c r="N621" i="1"/>
  <c r="O621" i="1" s="1"/>
  <c r="P621" i="1" s="1"/>
  <c r="Q621" i="1" s="1"/>
  <c r="U621" i="1" s="1"/>
  <c r="V621" i="1" s="1"/>
  <c r="N622" i="1"/>
  <c r="O622" i="1" s="1"/>
  <c r="P622" i="1" s="1"/>
  <c r="Q622" i="1" s="1"/>
  <c r="U622" i="1" s="1"/>
  <c r="V622" i="1" s="1"/>
  <c r="N623" i="1"/>
  <c r="O623" i="1" s="1"/>
  <c r="P623" i="1" s="1"/>
  <c r="Q623" i="1" s="1"/>
  <c r="U623" i="1" s="1"/>
  <c r="V623" i="1" s="1"/>
  <c r="N624" i="1"/>
  <c r="O624" i="1" s="1"/>
  <c r="P624" i="1" s="1"/>
  <c r="Q624" i="1" s="1"/>
  <c r="U624" i="1" s="1"/>
  <c r="V624" i="1" s="1"/>
  <c r="N625" i="1"/>
  <c r="O625" i="1" s="1"/>
  <c r="P625" i="1" s="1"/>
  <c r="Q625" i="1" s="1"/>
  <c r="U625" i="1" s="1"/>
  <c r="V625" i="1" s="1"/>
  <c r="N626" i="1"/>
  <c r="O626" i="1" s="1"/>
  <c r="P626" i="1" s="1"/>
  <c r="Q626" i="1" s="1"/>
  <c r="U626" i="1" s="1"/>
  <c r="V626" i="1" s="1"/>
  <c r="N627" i="1"/>
  <c r="O627" i="1" s="1"/>
  <c r="P627" i="1" s="1"/>
  <c r="Q627" i="1" s="1"/>
  <c r="U627" i="1" s="1"/>
  <c r="V627" i="1" s="1"/>
  <c r="N628" i="1"/>
  <c r="O628" i="1" s="1"/>
  <c r="P628" i="1" s="1"/>
  <c r="Q628" i="1" s="1"/>
  <c r="U628" i="1" s="1"/>
  <c r="V628" i="1" s="1"/>
  <c r="N629" i="1"/>
  <c r="O629" i="1" s="1"/>
  <c r="P629" i="1" s="1"/>
  <c r="Q629" i="1" s="1"/>
  <c r="U629" i="1" s="1"/>
  <c r="V629" i="1" s="1"/>
  <c r="N630" i="1"/>
  <c r="O630" i="1" s="1"/>
  <c r="P630" i="1" s="1"/>
  <c r="Q630" i="1" s="1"/>
  <c r="U630" i="1" s="1"/>
  <c r="V630" i="1" s="1"/>
  <c r="N631" i="1"/>
  <c r="O631" i="1" s="1"/>
  <c r="P631" i="1" s="1"/>
  <c r="Q631" i="1" s="1"/>
  <c r="U631" i="1" s="1"/>
  <c r="V631" i="1" s="1"/>
  <c r="N632" i="1"/>
  <c r="O632" i="1" s="1"/>
  <c r="P632" i="1" s="1"/>
  <c r="Q632" i="1" s="1"/>
  <c r="U632" i="1" s="1"/>
  <c r="V632" i="1" s="1"/>
  <c r="N633" i="1"/>
  <c r="O633" i="1" s="1"/>
  <c r="P633" i="1" s="1"/>
  <c r="Q633" i="1" s="1"/>
  <c r="U633" i="1" s="1"/>
  <c r="V633" i="1" s="1"/>
  <c r="N634" i="1"/>
  <c r="O634" i="1" s="1"/>
  <c r="P634" i="1" s="1"/>
  <c r="Q634" i="1" s="1"/>
  <c r="U634" i="1" s="1"/>
  <c r="V634" i="1" s="1"/>
  <c r="N635" i="1"/>
  <c r="O635" i="1" s="1"/>
  <c r="P635" i="1" s="1"/>
  <c r="Q635" i="1" s="1"/>
  <c r="U635" i="1" s="1"/>
  <c r="V635" i="1" s="1"/>
  <c r="N636" i="1"/>
  <c r="O636" i="1" s="1"/>
  <c r="P636" i="1" s="1"/>
  <c r="Q636" i="1" s="1"/>
  <c r="U636" i="1" s="1"/>
  <c r="V636" i="1" s="1"/>
  <c r="N637" i="1"/>
  <c r="O637" i="1" s="1"/>
  <c r="P637" i="1" s="1"/>
  <c r="Q637" i="1" s="1"/>
  <c r="U637" i="1" s="1"/>
  <c r="V637" i="1" s="1"/>
  <c r="N638" i="1"/>
  <c r="O638" i="1" s="1"/>
  <c r="P638" i="1" s="1"/>
  <c r="Q638" i="1" s="1"/>
  <c r="U638" i="1" s="1"/>
  <c r="V638" i="1" s="1"/>
  <c r="N639" i="1"/>
  <c r="O639" i="1" s="1"/>
  <c r="P639" i="1" s="1"/>
  <c r="Q639" i="1" s="1"/>
  <c r="U639" i="1" s="1"/>
  <c r="V639" i="1" s="1"/>
  <c r="N640" i="1"/>
  <c r="O640" i="1" s="1"/>
  <c r="P640" i="1" s="1"/>
  <c r="Q640" i="1" s="1"/>
  <c r="U640" i="1" s="1"/>
  <c r="V640" i="1" s="1"/>
  <c r="N641" i="1"/>
  <c r="O641" i="1" s="1"/>
  <c r="P641" i="1" s="1"/>
  <c r="Q641" i="1" s="1"/>
  <c r="U641" i="1" s="1"/>
  <c r="V641" i="1" s="1"/>
  <c r="N642" i="1"/>
  <c r="O642" i="1" s="1"/>
  <c r="P642" i="1" s="1"/>
  <c r="Q642" i="1" s="1"/>
  <c r="U642" i="1" s="1"/>
  <c r="V642" i="1" s="1"/>
  <c r="N643" i="1"/>
  <c r="O643" i="1" s="1"/>
  <c r="P643" i="1" s="1"/>
  <c r="Q643" i="1" s="1"/>
  <c r="U643" i="1" s="1"/>
  <c r="V643" i="1" s="1"/>
  <c r="N644" i="1"/>
  <c r="O644" i="1" s="1"/>
  <c r="P644" i="1" s="1"/>
  <c r="Q644" i="1" s="1"/>
  <c r="U644" i="1" s="1"/>
  <c r="V644" i="1" s="1"/>
  <c r="N645" i="1"/>
  <c r="O645" i="1" s="1"/>
  <c r="P645" i="1" s="1"/>
  <c r="Q645" i="1" s="1"/>
  <c r="U645" i="1" s="1"/>
  <c r="V645" i="1" s="1"/>
  <c r="N646" i="1"/>
  <c r="O646" i="1" s="1"/>
  <c r="P646" i="1" s="1"/>
  <c r="Q646" i="1" s="1"/>
  <c r="U646" i="1" s="1"/>
  <c r="V646" i="1" s="1"/>
  <c r="N647" i="1"/>
  <c r="O647" i="1" s="1"/>
  <c r="P647" i="1" s="1"/>
  <c r="Q647" i="1" s="1"/>
  <c r="U647" i="1" s="1"/>
  <c r="V647" i="1" s="1"/>
  <c r="N648" i="1"/>
  <c r="O648" i="1" s="1"/>
  <c r="P648" i="1" s="1"/>
  <c r="Q648" i="1" s="1"/>
  <c r="U648" i="1" s="1"/>
  <c r="V648" i="1" s="1"/>
  <c r="N649" i="1"/>
  <c r="O649" i="1" s="1"/>
  <c r="P649" i="1" s="1"/>
  <c r="Q649" i="1" s="1"/>
  <c r="U649" i="1" s="1"/>
  <c r="V649" i="1" s="1"/>
  <c r="N650" i="1"/>
  <c r="O650" i="1" s="1"/>
  <c r="P650" i="1" s="1"/>
  <c r="Q650" i="1" s="1"/>
  <c r="U650" i="1" s="1"/>
  <c r="V650" i="1" s="1"/>
  <c r="N651" i="1"/>
  <c r="O651" i="1" s="1"/>
  <c r="P651" i="1" s="1"/>
  <c r="Q651" i="1" s="1"/>
  <c r="U651" i="1" s="1"/>
  <c r="V651" i="1" s="1"/>
  <c r="N652" i="1"/>
  <c r="O652" i="1" s="1"/>
  <c r="P652" i="1" s="1"/>
  <c r="Q652" i="1" s="1"/>
  <c r="U652" i="1" s="1"/>
  <c r="V652" i="1" s="1"/>
  <c r="N653" i="1"/>
  <c r="O653" i="1" s="1"/>
  <c r="P653" i="1" s="1"/>
  <c r="Q653" i="1" s="1"/>
  <c r="U653" i="1" s="1"/>
  <c r="V653" i="1" s="1"/>
  <c r="N654" i="1"/>
  <c r="O654" i="1" s="1"/>
  <c r="P654" i="1" s="1"/>
  <c r="Q654" i="1" s="1"/>
  <c r="U654" i="1" s="1"/>
  <c r="V654" i="1" s="1"/>
  <c r="N655" i="1"/>
  <c r="O655" i="1" s="1"/>
  <c r="P655" i="1" s="1"/>
  <c r="Q655" i="1" s="1"/>
  <c r="U655" i="1" s="1"/>
  <c r="V655" i="1" s="1"/>
  <c r="N656" i="1"/>
  <c r="O656" i="1" s="1"/>
  <c r="P656" i="1" s="1"/>
  <c r="Q656" i="1" s="1"/>
  <c r="U656" i="1" s="1"/>
  <c r="V656" i="1" s="1"/>
  <c r="N657" i="1"/>
  <c r="O657" i="1" s="1"/>
  <c r="P657" i="1" s="1"/>
  <c r="Q657" i="1" s="1"/>
  <c r="U657" i="1" s="1"/>
  <c r="V657" i="1" s="1"/>
  <c r="N658" i="1"/>
  <c r="O658" i="1" s="1"/>
  <c r="P658" i="1" s="1"/>
  <c r="Q658" i="1" s="1"/>
  <c r="U658" i="1" s="1"/>
  <c r="V658" i="1" s="1"/>
  <c r="N659" i="1"/>
  <c r="O659" i="1" s="1"/>
  <c r="P659" i="1" s="1"/>
  <c r="Q659" i="1" s="1"/>
  <c r="U659" i="1" s="1"/>
  <c r="V659" i="1" s="1"/>
  <c r="N660" i="1"/>
  <c r="O660" i="1" s="1"/>
  <c r="P660" i="1" s="1"/>
  <c r="Q660" i="1" s="1"/>
  <c r="U660" i="1" s="1"/>
  <c r="V660" i="1" s="1"/>
  <c r="N661" i="1"/>
  <c r="O661" i="1" s="1"/>
  <c r="P661" i="1" s="1"/>
  <c r="Q661" i="1" s="1"/>
  <c r="U661" i="1" s="1"/>
  <c r="V661" i="1" s="1"/>
  <c r="N662" i="1"/>
  <c r="O662" i="1" s="1"/>
  <c r="P662" i="1" s="1"/>
  <c r="Q662" i="1" s="1"/>
  <c r="U662" i="1" s="1"/>
  <c r="V662" i="1" s="1"/>
  <c r="N663" i="1"/>
  <c r="O663" i="1" s="1"/>
  <c r="P663" i="1" s="1"/>
  <c r="Q663" i="1" s="1"/>
  <c r="U663" i="1" s="1"/>
  <c r="V663" i="1" s="1"/>
  <c r="N664" i="1"/>
  <c r="O664" i="1" s="1"/>
  <c r="P664" i="1" s="1"/>
  <c r="Q664" i="1" s="1"/>
  <c r="U664" i="1" s="1"/>
  <c r="V664" i="1" s="1"/>
  <c r="N665" i="1"/>
  <c r="O665" i="1" s="1"/>
  <c r="P665" i="1" s="1"/>
  <c r="Q665" i="1" s="1"/>
  <c r="U665" i="1" s="1"/>
  <c r="V665" i="1" s="1"/>
  <c r="N666" i="1"/>
  <c r="O666" i="1" s="1"/>
  <c r="P666" i="1" s="1"/>
  <c r="Q666" i="1" s="1"/>
  <c r="U666" i="1" s="1"/>
  <c r="V666" i="1" s="1"/>
  <c r="N667" i="1"/>
  <c r="O667" i="1" s="1"/>
  <c r="P667" i="1" s="1"/>
  <c r="Q667" i="1" s="1"/>
  <c r="U667" i="1" s="1"/>
  <c r="V667" i="1" s="1"/>
  <c r="N668" i="1"/>
  <c r="O668" i="1" s="1"/>
  <c r="P668" i="1" s="1"/>
  <c r="Q668" i="1" s="1"/>
  <c r="U668" i="1" s="1"/>
  <c r="V668" i="1" s="1"/>
  <c r="N669" i="1"/>
  <c r="O669" i="1" s="1"/>
  <c r="P669" i="1" s="1"/>
  <c r="Q669" i="1" s="1"/>
  <c r="U669" i="1" s="1"/>
  <c r="V669" i="1" s="1"/>
  <c r="N670" i="1"/>
  <c r="O670" i="1" s="1"/>
  <c r="P670" i="1" s="1"/>
  <c r="Q670" i="1" s="1"/>
  <c r="U670" i="1" s="1"/>
  <c r="V670" i="1" s="1"/>
  <c r="N671" i="1"/>
  <c r="O671" i="1" s="1"/>
  <c r="P671" i="1" s="1"/>
  <c r="Q671" i="1" s="1"/>
  <c r="U671" i="1" s="1"/>
  <c r="V671" i="1" s="1"/>
  <c r="N672" i="1"/>
  <c r="O672" i="1" s="1"/>
  <c r="P672" i="1" s="1"/>
  <c r="Q672" i="1" s="1"/>
  <c r="U672" i="1" s="1"/>
  <c r="V672" i="1" s="1"/>
  <c r="N673" i="1"/>
  <c r="O673" i="1" s="1"/>
  <c r="P673" i="1" s="1"/>
  <c r="Q673" i="1" s="1"/>
  <c r="U673" i="1" s="1"/>
  <c r="V673" i="1" s="1"/>
  <c r="N674" i="1"/>
  <c r="O674" i="1" s="1"/>
  <c r="P674" i="1" s="1"/>
  <c r="Q674" i="1" s="1"/>
  <c r="U674" i="1" s="1"/>
  <c r="V674" i="1" s="1"/>
  <c r="N675" i="1"/>
  <c r="O675" i="1" s="1"/>
  <c r="P675" i="1" s="1"/>
  <c r="Q675" i="1" s="1"/>
  <c r="U675" i="1" s="1"/>
  <c r="V675" i="1" s="1"/>
  <c r="N676" i="1"/>
  <c r="O676" i="1" s="1"/>
  <c r="P676" i="1" s="1"/>
  <c r="Q676" i="1" s="1"/>
  <c r="U676" i="1" s="1"/>
  <c r="V676" i="1" s="1"/>
  <c r="N677" i="1"/>
  <c r="O677" i="1" s="1"/>
  <c r="P677" i="1" s="1"/>
  <c r="Q677" i="1" s="1"/>
  <c r="U677" i="1" s="1"/>
  <c r="V677" i="1" s="1"/>
  <c r="N678" i="1"/>
  <c r="O678" i="1" s="1"/>
  <c r="P678" i="1" s="1"/>
  <c r="Q678" i="1" s="1"/>
  <c r="U678" i="1" s="1"/>
  <c r="V678" i="1" s="1"/>
  <c r="N679" i="1"/>
  <c r="O679" i="1" s="1"/>
  <c r="P679" i="1" s="1"/>
  <c r="Q679" i="1" s="1"/>
  <c r="U679" i="1" s="1"/>
  <c r="V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P725" i="1" s="1"/>
  <c r="Q725" i="1" s="1"/>
  <c r="U725" i="1" s="1"/>
  <c r="V725" i="1" s="1"/>
  <c r="N726" i="1"/>
  <c r="O726" i="1" s="1"/>
  <c r="P726" i="1" s="1"/>
  <c r="Q726" i="1" s="1"/>
  <c r="U726" i="1" s="1"/>
  <c r="V726" i="1" s="1"/>
  <c r="N727" i="1"/>
  <c r="O727" i="1" s="1"/>
  <c r="P727" i="1" s="1"/>
  <c r="Q727" i="1" s="1"/>
  <c r="U727" i="1" s="1"/>
  <c r="V727" i="1" s="1"/>
  <c r="N728" i="1"/>
  <c r="O728" i="1" s="1"/>
  <c r="P728" i="1" s="1"/>
  <c r="Q728" i="1" s="1"/>
  <c r="U728" i="1" s="1"/>
  <c r="V728" i="1" s="1"/>
  <c r="N729" i="1"/>
  <c r="O729" i="1" s="1"/>
  <c r="P729" i="1" s="1"/>
  <c r="Q729" i="1" s="1"/>
  <c r="U729" i="1" s="1"/>
  <c r="V729" i="1" s="1"/>
  <c r="N730" i="1"/>
  <c r="O730" i="1" s="1"/>
  <c r="P730" i="1" s="1"/>
  <c r="Q730" i="1" s="1"/>
  <c r="U730" i="1" s="1"/>
  <c r="V730" i="1" s="1"/>
  <c r="N731" i="1"/>
  <c r="O731" i="1" s="1"/>
  <c r="P731" i="1" s="1"/>
  <c r="Q731" i="1" s="1"/>
  <c r="U731" i="1" s="1"/>
  <c r="V731" i="1" s="1"/>
  <c r="N732" i="1"/>
  <c r="O732" i="1" s="1"/>
  <c r="P732" i="1" s="1"/>
  <c r="Q732" i="1" s="1"/>
  <c r="U732" i="1" s="1"/>
  <c r="V732" i="1" s="1"/>
  <c r="N733" i="1"/>
  <c r="O733" i="1" s="1"/>
  <c r="P733" i="1" s="1"/>
  <c r="Q733" i="1" s="1"/>
  <c r="U733" i="1" s="1"/>
  <c r="V733" i="1" s="1"/>
  <c r="N734" i="1"/>
  <c r="O734" i="1" s="1"/>
  <c r="P734" i="1" s="1"/>
  <c r="Q734" i="1" s="1"/>
  <c r="U734" i="1" s="1"/>
  <c r="V734" i="1" s="1"/>
  <c r="N735" i="1"/>
  <c r="O735" i="1" s="1"/>
  <c r="P735" i="1" s="1"/>
  <c r="Q735" i="1" s="1"/>
  <c r="U735" i="1" s="1"/>
  <c r="V735" i="1" s="1"/>
  <c r="N736" i="1"/>
  <c r="O736" i="1" s="1"/>
  <c r="P736" i="1" s="1"/>
  <c r="Q736" i="1" s="1"/>
  <c r="U736" i="1" s="1"/>
  <c r="V736" i="1" s="1"/>
  <c r="N737" i="1"/>
  <c r="O737" i="1" s="1"/>
  <c r="P737" i="1" s="1"/>
  <c r="Q737" i="1" s="1"/>
  <c r="U737" i="1" s="1"/>
  <c r="V737" i="1" s="1"/>
  <c r="N738" i="1"/>
  <c r="O738" i="1" s="1"/>
  <c r="P738" i="1" s="1"/>
  <c r="Q738" i="1" s="1"/>
  <c r="U738" i="1" s="1"/>
  <c r="V738" i="1" s="1"/>
  <c r="N739" i="1"/>
  <c r="O739" i="1" s="1"/>
  <c r="P739" i="1" s="1"/>
  <c r="Q739" i="1" s="1"/>
  <c r="U739" i="1" s="1"/>
  <c r="V739" i="1" s="1"/>
  <c r="N740" i="1"/>
  <c r="O740" i="1" s="1"/>
  <c r="P740" i="1" s="1"/>
  <c r="Q740" i="1" s="1"/>
  <c r="U740" i="1" s="1"/>
  <c r="V740" i="1" s="1"/>
  <c r="N741" i="1"/>
  <c r="O741" i="1" s="1"/>
  <c r="N742" i="1"/>
  <c r="O742" i="1" s="1"/>
  <c r="P742" i="1" s="1"/>
  <c r="Q742" i="1" s="1"/>
  <c r="U742" i="1" s="1"/>
  <c r="V742" i="1" s="1"/>
  <c r="N743" i="1"/>
  <c r="O743" i="1" s="1"/>
  <c r="P743" i="1" s="1"/>
  <c r="Q743" i="1" s="1"/>
  <c r="U743" i="1" s="1"/>
  <c r="V743" i="1" s="1"/>
  <c r="N744" i="1"/>
  <c r="O744" i="1" s="1"/>
  <c r="P744" i="1" s="1"/>
  <c r="Q744" i="1" s="1"/>
  <c r="U744" i="1" s="1"/>
  <c r="V744" i="1" s="1"/>
  <c r="N745" i="1"/>
  <c r="O745" i="1" s="1"/>
  <c r="P745" i="1" s="1"/>
  <c r="Q745" i="1" s="1"/>
  <c r="U745" i="1" s="1"/>
  <c r="V745" i="1" s="1"/>
  <c r="N746" i="1"/>
  <c r="O746" i="1" s="1"/>
  <c r="P746" i="1" s="1"/>
  <c r="Q746" i="1" s="1"/>
  <c r="U746" i="1" s="1"/>
  <c r="V746" i="1" s="1"/>
  <c r="N747" i="1"/>
  <c r="O747" i="1" s="1"/>
  <c r="P747" i="1" s="1"/>
  <c r="Q747" i="1" s="1"/>
  <c r="U747" i="1" s="1"/>
  <c r="V747" i="1" s="1"/>
  <c r="N748" i="1"/>
  <c r="O748" i="1" s="1"/>
  <c r="P748" i="1" s="1"/>
  <c r="Q748" i="1" s="1"/>
  <c r="U748" i="1" s="1"/>
  <c r="V748" i="1" s="1"/>
  <c r="N749" i="1"/>
  <c r="O749" i="1" s="1"/>
  <c r="P749" i="1" s="1"/>
  <c r="Q749" i="1" s="1"/>
  <c r="U749" i="1" s="1"/>
  <c r="V749" i="1" s="1"/>
  <c r="N750" i="1"/>
  <c r="O750" i="1" s="1"/>
  <c r="P750" i="1" s="1"/>
  <c r="Q750" i="1" s="1"/>
  <c r="U750" i="1" s="1"/>
  <c r="V750" i="1" s="1"/>
  <c r="N751" i="1"/>
  <c r="O751" i="1" s="1"/>
  <c r="P751" i="1" s="1"/>
  <c r="Q751" i="1" s="1"/>
  <c r="U751" i="1" s="1"/>
  <c r="V751" i="1" s="1"/>
  <c r="N752" i="1"/>
  <c r="O752" i="1" s="1"/>
  <c r="P752" i="1" s="1"/>
  <c r="Q752" i="1" s="1"/>
  <c r="U752" i="1" s="1"/>
  <c r="V752" i="1" s="1"/>
  <c r="N753" i="1"/>
  <c r="O753" i="1" s="1"/>
  <c r="N754" i="1"/>
  <c r="O754" i="1" s="1"/>
  <c r="P754" i="1" s="1"/>
  <c r="Q754" i="1" s="1"/>
  <c r="U754" i="1" s="1"/>
  <c r="V754" i="1" s="1"/>
  <c r="N755" i="1"/>
  <c r="O755" i="1" s="1"/>
  <c r="P755" i="1" s="1"/>
  <c r="Q755" i="1" s="1"/>
  <c r="U755" i="1" s="1"/>
  <c r="V755" i="1" s="1"/>
  <c r="N756" i="1"/>
  <c r="O756" i="1" s="1"/>
  <c r="P756" i="1" s="1"/>
  <c r="Q756" i="1" s="1"/>
  <c r="U756" i="1" s="1"/>
  <c r="V756" i="1" s="1"/>
  <c r="N757" i="1"/>
  <c r="O757" i="1" s="1"/>
  <c r="P757" i="1" s="1"/>
  <c r="Q757" i="1" s="1"/>
  <c r="U757" i="1" s="1"/>
  <c r="V757" i="1" s="1"/>
  <c r="N758" i="1"/>
  <c r="O758" i="1" s="1"/>
  <c r="P758" i="1" s="1"/>
  <c r="Q758" i="1" s="1"/>
  <c r="U758" i="1" s="1"/>
  <c r="V758" i="1" s="1"/>
  <c r="N759" i="1"/>
  <c r="O759" i="1" s="1"/>
  <c r="P759" i="1" s="1"/>
  <c r="Q759" i="1" s="1"/>
  <c r="U759" i="1" s="1"/>
  <c r="V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3" i="1"/>
  <c r="O3" i="1" s="1"/>
  <c r="N4" i="1"/>
  <c r="O4" i="1" s="1"/>
  <c r="N2" i="1"/>
  <c r="O2" i="1" s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3" i="1"/>
  <c r="M4" i="1"/>
  <c r="M5" i="1"/>
  <c r="M6" i="1"/>
  <c r="M2" i="1"/>
  <c r="P176" i="1" l="1"/>
  <c r="Q176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680" i="1"/>
  <c r="Q680" i="1" s="1"/>
  <c r="P681" i="1"/>
  <c r="Q681" i="1" s="1"/>
  <c r="P682" i="1"/>
  <c r="Q682" i="1" s="1"/>
  <c r="P683" i="1"/>
  <c r="Q683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3" i="1"/>
  <c r="Q3" i="1" s="1"/>
  <c r="P4" i="1"/>
  <c r="Q4" i="1" s="1"/>
  <c r="P2" i="1"/>
  <c r="Q2" i="1" s="1"/>
  <c r="R2" i="1" s="1"/>
  <c r="T2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R723" i="1" s="1"/>
  <c r="T723" i="1" s="1"/>
  <c r="P724" i="1"/>
  <c r="Q724" i="1" s="1"/>
  <c r="P741" i="1"/>
  <c r="Q741" i="1" s="1"/>
  <c r="P5" i="1"/>
  <c r="Q5" i="1" s="1"/>
  <c r="P6" i="1"/>
  <c r="Q6" i="1" s="1"/>
  <c r="P105" i="1"/>
  <c r="Q105" i="1" s="1"/>
  <c r="P107" i="1"/>
  <c r="Q107" i="1" s="1"/>
  <c r="P110" i="1"/>
  <c r="Q110" i="1" s="1"/>
  <c r="P111" i="1"/>
  <c r="Q111" i="1" s="1"/>
  <c r="P114" i="1"/>
  <c r="Q114" i="1" s="1"/>
  <c r="P117" i="1"/>
  <c r="Q117" i="1" s="1"/>
  <c r="P119" i="1"/>
  <c r="Q119" i="1" s="1"/>
  <c r="P122" i="1"/>
  <c r="Q122" i="1" s="1"/>
  <c r="P123" i="1"/>
  <c r="Q123" i="1" s="1"/>
  <c r="P124" i="1"/>
  <c r="Q124" i="1" s="1"/>
  <c r="P125" i="1"/>
  <c r="Q125" i="1" s="1"/>
  <c r="R125" i="1" s="1"/>
  <c r="T125" i="1" s="1"/>
  <c r="P126" i="1"/>
  <c r="Q126" i="1" s="1"/>
  <c r="S126" i="1" s="1"/>
  <c r="P127" i="1"/>
  <c r="Q127" i="1" s="1"/>
  <c r="P128" i="1"/>
  <c r="Q128" i="1" s="1"/>
  <c r="P129" i="1"/>
  <c r="Q129" i="1" s="1"/>
  <c r="R129" i="1" s="1"/>
  <c r="T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74" i="1"/>
  <c r="Q174" i="1" s="1"/>
  <c r="P227" i="1"/>
  <c r="Q227" i="1" s="1"/>
  <c r="P280" i="1"/>
  <c r="Q280" i="1" s="1"/>
  <c r="P332" i="1"/>
  <c r="Q332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38" i="1"/>
  <c r="Q438" i="1" s="1"/>
  <c r="P596" i="1"/>
  <c r="Q596" i="1" s="1"/>
  <c r="P701" i="1"/>
  <c r="Q701" i="1" s="1"/>
  <c r="P753" i="1"/>
  <c r="Q753" i="1" s="1"/>
  <c r="P104" i="1"/>
  <c r="Q104" i="1" s="1"/>
  <c r="P108" i="1"/>
  <c r="Q108" i="1" s="1"/>
  <c r="P112" i="1"/>
  <c r="Q112" i="1" s="1"/>
  <c r="P115" i="1"/>
  <c r="Q115" i="1" s="1"/>
  <c r="P120" i="1"/>
  <c r="Q120" i="1" s="1"/>
  <c r="P121" i="1"/>
  <c r="Q121" i="1" s="1"/>
  <c r="P106" i="1"/>
  <c r="Q106" i="1" s="1"/>
  <c r="P109" i="1"/>
  <c r="Q109" i="1" s="1"/>
  <c r="P113" i="1"/>
  <c r="Q113" i="1" s="1"/>
  <c r="P116" i="1"/>
  <c r="Q116" i="1" s="1"/>
  <c r="P118" i="1"/>
  <c r="Q118" i="1" s="1"/>
  <c r="P23" i="1"/>
  <c r="Q23" i="1" s="1"/>
  <c r="S23" i="1" s="1"/>
  <c r="P32" i="1"/>
  <c r="Q32" i="1" s="1"/>
  <c r="P36" i="1"/>
  <c r="Q36" i="1" s="1"/>
  <c r="P40" i="1"/>
  <c r="Q40" i="1" s="1"/>
  <c r="P44" i="1"/>
  <c r="Q44" i="1" s="1"/>
  <c r="P48" i="1"/>
  <c r="Q48" i="1" s="1"/>
  <c r="P52" i="1"/>
  <c r="Q52" i="1" s="1"/>
  <c r="P55" i="1"/>
  <c r="Q55" i="1" s="1"/>
  <c r="P59" i="1"/>
  <c r="Q59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7" i="1"/>
  <c r="Q17" i="1" s="1"/>
  <c r="P20" i="1"/>
  <c r="Q20" i="1" s="1"/>
  <c r="P24" i="1"/>
  <c r="Q24" i="1" s="1"/>
  <c r="P25" i="1"/>
  <c r="Q25" i="1" s="1"/>
  <c r="P27" i="1"/>
  <c r="Q27" i="1" s="1"/>
  <c r="P29" i="1"/>
  <c r="Q29" i="1" s="1"/>
  <c r="P31" i="1"/>
  <c r="Q31" i="1" s="1"/>
  <c r="P34" i="1"/>
  <c r="Q34" i="1" s="1"/>
  <c r="P38" i="1"/>
  <c r="Q38" i="1" s="1"/>
  <c r="P41" i="1"/>
  <c r="Q41" i="1" s="1"/>
  <c r="P45" i="1"/>
  <c r="Q45" i="1" s="1"/>
  <c r="P47" i="1"/>
  <c r="Q47" i="1" s="1"/>
  <c r="P51" i="1"/>
  <c r="Q51" i="1" s="1"/>
  <c r="P54" i="1"/>
  <c r="Q54" i="1" s="1"/>
  <c r="P58" i="1"/>
  <c r="Q58" i="1" s="1"/>
  <c r="P61" i="1"/>
  <c r="Q61" i="1" s="1"/>
  <c r="P16" i="1"/>
  <c r="Q16" i="1" s="1"/>
  <c r="P18" i="1"/>
  <c r="Q18" i="1" s="1"/>
  <c r="P19" i="1"/>
  <c r="Q19" i="1" s="1"/>
  <c r="P21" i="1"/>
  <c r="Q21" i="1" s="1"/>
  <c r="P22" i="1"/>
  <c r="Q22" i="1" s="1"/>
  <c r="P26" i="1"/>
  <c r="Q26" i="1" s="1"/>
  <c r="P28" i="1"/>
  <c r="Q28" i="1" s="1"/>
  <c r="P30" i="1"/>
  <c r="Q30" i="1" s="1"/>
  <c r="P33" i="1"/>
  <c r="Q33" i="1" s="1"/>
  <c r="P35" i="1"/>
  <c r="Q35" i="1" s="1"/>
  <c r="P37" i="1"/>
  <c r="Q37" i="1" s="1"/>
  <c r="P39" i="1"/>
  <c r="Q39" i="1" s="1"/>
  <c r="P42" i="1"/>
  <c r="Q42" i="1" s="1"/>
  <c r="P43" i="1"/>
  <c r="Q43" i="1" s="1"/>
  <c r="P46" i="1"/>
  <c r="Q46" i="1" s="1"/>
  <c r="P49" i="1"/>
  <c r="Q49" i="1" s="1"/>
  <c r="P50" i="1"/>
  <c r="Q50" i="1" s="1"/>
  <c r="P53" i="1"/>
  <c r="Q53" i="1" s="1"/>
  <c r="P56" i="1"/>
  <c r="Q56" i="1" s="1"/>
  <c r="P57" i="1"/>
  <c r="Q57" i="1" s="1"/>
  <c r="P60" i="1"/>
  <c r="Q60" i="1" s="1"/>
  <c r="R530" i="1"/>
  <c r="T530" i="1" s="1"/>
  <c r="S530" i="1"/>
  <c r="R531" i="1"/>
  <c r="T531" i="1" s="1"/>
  <c r="S531" i="1"/>
  <c r="R532" i="1"/>
  <c r="T532" i="1" s="1"/>
  <c r="S532" i="1"/>
  <c r="R533" i="1"/>
  <c r="T533" i="1" s="1"/>
  <c r="S533" i="1"/>
  <c r="R534" i="1"/>
  <c r="T534" i="1" s="1"/>
  <c r="S534" i="1"/>
  <c r="R535" i="1"/>
  <c r="T535" i="1" s="1"/>
  <c r="S535" i="1"/>
  <c r="R536" i="1"/>
  <c r="T536" i="1" s="1"/>
  <c r="S536" i="1"/>
  <c r="R537" i="1"/>
  <c r="T537" i="1" s="1"/>
  <c r="S537" i="1"/>
  <c r="R538" i="1"/>
  <c r="T538" i="1" s="1"/>
  <c r="S538" i="1"/>
  <c r="R539" i="1"/>
  <c r="T539" i="1" s="1"/>
  <c r="S539" i="1"/>
  <c r="R540" i="1"/>
  <c r="T540" i="1" s="1"/>
  <c r="S540" i="1"/>
  <c r="R541" i="1"/>
  <c r="T541" i="1" s="1"/>
  <c r="S541" i="1"/>
  <c r="R542" i="1"/>
  <c r="T542" i="1" s="1"/>
  <c r="S542" i="1"/>
  <c r="R543" i="1"/>
  <c r="T543" i="1" s="1"/>
  <c r="S543" i="1"/>
  <c r="R544" i="1"/>
  <c r="T544" i="1" s="1"/>
  <c r="S544" i="1"/>
  <c r="R545" i="1"/>
  <c r="T545" i="1" s="1"/>
  <c r="S545" i="1"/>
  <c r="R546" i="1"/>
  <c r="T546" i="1" s="1"/>
  <c r="S546" i="1"/>
  <c r="R547" i="1"/>
  <c r="T547" i="1" s="1"/>
  <c r="S547" i="1"/>
  <c r="R548" i="1"/>
  <c r="T548" i="1" s="1"/>
  <c r="S548" i="1"/>
  <c r="R549" i="1"/>
  <c r="T549" i="1" s="1"/>
  <c r="S549" i="1"/>
  <c r="R550" i="1"/>
  <c r="T550" i="1" s="1"/>
  <c r="S550" i="1"/>
  <c r="R551" i="1"/>
  <c r="T551" i="1" s="1"/>
  <c r="S551" i="1"/>
  <c r="R552" i="1"/>
  <c r="T552" i="1" s="1"/>
  <c r="S552" i="1"/>
  <c r="R553" i="1"/>
  <c r="T553" i="1" s="1"/>
  <c r="S553" i="1"/>
  <c r="R598" i="1"/>
  <c r="T598" i="1" s="1"/>
  <c r="S598" i="1"/>
  <c r="R599" i="1"/>
  <c r="T599" i="1" s="1"/>
  <c r="S599" i="1"/>
  <c r="R600" i="1"/>
  <c r="T600" i="1" s="1"/>
  <c r="S600" i="1"/>
  <c r="R601" i="1"/>
  <c r="T601" i="1" s="1"/>
  <c r="S601" i="1"/>
  <c r="R602" i="1"/>
  <c r="T602" i="1" s="1"/>
  <c r="S602" i="1"/>
  <c r="R603" i="1"/>
  <c r="T603" i="1" s="1"/>
  <c r="S603" i="1"/>
  <c r="R604" i="1"/>
  <c r="T604" i="1" s="1"/>
  <c r="S604" i="1"/>
  <c r="R605" i="1"/>
  <c r="T605" i="1" s="1"/>
  <c r="S605" i="1"/>
  <c r="R606" i="1"/>
  <c r="T606" i="1" s="1"/>
  <c r="S606" i="1"/>
  <c r="R607" i="1"/>
  <c r="T607" i="1" s="1"/>
  <c r="S607" i="1"/>
  <c r="R608" i="1"/>
  <c r="T608" i="1" s="1"/>
  <c r="S608" i="1"/>
  <c r="R609" i="1"/>
  <c r="T609" i="1" s="1"/>
  <c r="S609" i="1"/>
  <c r="R610" i="1"/>
  <c r="T610" i="1" s="1"/>
  <c r="S610" i="1"/>
  <c r="R611" i="1"/>
  <c r="T611" i="1" s="1"/>
  <c r="S611" i="1"/>
  <c r="R612" i="1"/>
  <c r="T612" i="1" s="1"/>
  <c r="S612" i="1"/>
  <c r="R613" i="1"/>
  <c r="T613" i="1" s="1"/>
  <c r="S613" i="1"/>
  <c r="R614" i="1"/>
  <c r="T614" i="1" s="1"/>
  <c r="S614" i="1"/>
  <c r="R615" i="1"/>
  <c r="T615" i="1" s="1"/>
  <c r="S615" i="1"/>
  <c r="R616" i="1"/>
  <c r="T616" i="1" s="1"/>
  <c r="S616" i="1"/>
  <c r="R617" i="1"/>
  <c r="T617" i="1" s="1"/>
  <c r="S617" i="1"/>
  <c r="R618" i="1"/>
  <c r="T618" i="1" s="1"/>
  <c r="S618" i="1"/>
  <c r="R619" i="1"/>
  <c r="T619" i="1" s="1"/>
  <c r="S619" i="1"/>
  <c r="R620" i="1"/>
  <c r="T620" i="1" s="1"/>
  <c r="S620" i="1"/>
  <c r="R621" i="1"/>
  <c r="T621" i="1" s="1"/>
  <c r="S621" i="1"/>
  <c r="R622" i="1"/>
  <c r="T622" i="1" s="1"/>
  <c r="S622" i="1"/>
  <c r="R623" i="1"/>
  <c r="T623" i="1" s="1"/>
  <c r="S623" i="1"/>
  <c r="R624" i="1"/>
  <c r="T624" i="1" s="1"/>
  <c r="S624" i="1"/>
  <c r="R625" i="1"/>
  <c r="T625" i="1" s="1"/>
  <c r="S625" i="1"/>
  <c r="R626" i="1"/>
  <c r="T626" i="1" s="1"/>
  <c r="S626" i="1"/>
  <c r="R627" i="1"/>
  <c r="T627" i="1" s="1"/>
  <c r="S627" i="1"/>
  <c r="R628" i="1"/>
  <c r="T628" i="1" s="1"/>
  <c r="S628" i="1"/>
  <c r="R629" i="1"/>
  <c r="T629" i="1" s="1"/>
  <c r="S629" i="1"/>
  <c r="R630" i="1"/>
  <c r="T630" i="1" s="1"/>
  <c r="S630" i="1"/>
  <c r="R631" i="1"/>
  <c r="T631" i="1" s="1"/>
  <c r="S631" i="1"/>
  <c r="R632" i="1"/>
  <c r="T632" i="1" s="1"/>
  <c r="S632" i="1"/>
  <c r="R633" i="1"/>
  <c r="T633" i="1" s="1"/>
  <c r="S633" i="1"/>
  <c r="R634" i="1"/>
  <c r="T634" i="1" s="1"/>
  <c r="S634" i="1"/>
  <c r="R635" i="1"/>
  <c r="T635" i="1" s="1"/>
  <c r="S635" i="1"/>
  <c r="R666" i="1"/>
  <c r="T666" i="1" s="1"/>
  <c r="S666" i="1"/>
  <c r="R667" i="1"/>
  <c r="T667" i="1" s="1"/>
  <c r="S667" i="1"/>
  <c r="R668" i="1"/>
  <c r="T668" i="1" s="1"/>
  <c r="S668" i="1"/>
  <c r="R669" i="1"/>
  <c r="T669" i="1" s="1"/>
  <c r="S669" i="1"/>
  <c r="R670" i="1"/>
  <c r="T670" i="1" s="1"/>
  <c r="S670" i="1"/>
  <c r="R671" i="1"/>
  <c r="T671" i="1" s="1"/>
  <c r="S671" i="1"/>
  <c r="R672" i="1"/>
  <c r="T672" i="1" s="1"/>
  <c r="S672" i="1"/>
  <c r="R673" i="1"/>
  <c r="T673" i="1" s="1"/>
  <c r="S673" i="1"/>
  <c r="R674" i="1"/>
  <c r="T674" i="1" s="1"/>
  <c r="S674" i="1"/>
  <c r="R675" i="1"/>
  <c r="T675" i="1" s="1"/>
  <c r="S675" i="1"/>
  <c r="R676" i="1"/>
  <c r="T676" i="1" s="1"/>
  <c r="S676" i="1"/>
  <c r="R677" i="1"/>
  <c r="T677" i="1" s="1"/>
  <c r="S677" i="1"/>
  <c r="R678" i="1"/>
  <c r="T678" i="1" s="1"/>
  <c r="S678" i="1"/>
  <c r="R679" i="1"/>
  <c r="T679" i="1" s="1"/>
  <c r="S679" i="1"/>
  <c r="R15" i="1"/>
  <c r="T15" i="1" s="1"/>
  <c r="S15" i="1"/>
  <c r="R152" i="1"/>
  <c r="T152" i="1" s="1"/>
  <c r="S152" i="1"/>
  <c r="R153" i="1"/>
  <c r="T153" i="1" s="1"/>
  <c r="S153" i="1"/>
  <c r="R154" i="1"/>
  <c r="T154" i="1" s="1"/>
  <c r="S154" i="1"/>
  <c r="R155" i="1"/>
  <c r="T155" i="1" s="1"/>
  <c r="S155" i="1"/>
  <c r="R156" i="1"/>
  <c r="T156" i="1" s="1"/>
  <c r="S156" i="1"/>
  <c r="R157" i="1"/>
  <c r="T157" i="1" s="1"/>
  <c r="S157" i="1"/>
  <c r="R158" i="1"/>
  <c r="T158" i="1" s="1"/>
  <c r="S158" i="1"/>
  <c r="R159" i="1"/>
  <c r="T159" i="1" s="1"/>
  <c r="S159" i="1"/>
  <c r="R160" i="1"/>
  <c r="T160" i="1" s="1"/>
  <c r="S160" i="1"/>
  <c r="R161" i="1"/>
  <c r="T161" i="1" s="1"/>
  <c r="S161" i="1"/>
  <c r="R162" i="1"/>
  <c r="T162" i="1" s="1"/>
  <c r="S162" i="1"/>
  <c r="R163" i="1"/>
  <c r="T163" i="1" s="1"/>
  <c r="S163" i="1"/>
  <c r="R164" i="1"/>
  <c r="T164" i="1" s="1"/>
  <c r="S164" i="1"/>
  <c r="R165" i="1"/>
  <c r="T165" i="1" s="1"/>
  <c r="S165" i="1"/>
  <c r="R166" i="1"/>
  <c r="T166" i="1" s="1"/>
  <c r="S166" i="1"/>
  <c r="R167" i="1"/>
  <c r="T167" i="1" s="1"/>
  <c r="S167" i="1"/>
  <c r="R168" i="1"/>
  <c r="T168" i="1" s="1"/>
  <c r="S168" i="1"/>
  <c r="R169" i="1"/>
  <c r="T169" i="1" s="1"/>
  <c r="S169" i="1"/>
  <c r="R170" i="1"/>
  <c r="T170" i="1" s="1"/>
  <c r="S170" i="1"/>
  <c r="R171" i="1"/>
  <c r="T171" i="1" s="1"/>
  <c r="S171" i="1"/>
  <c r="R172" i="1"/>
  <c r="T172" i="1" s="1"/>
  <c r="S172" i="1"/>
  <c r="R173" i="1"/>
  <c r="T173" i="1" s="1"/>
  <c r="S173" i="1"/>
  <c r="R175" i="1"/>
  <c r="T175" i="1" s="1"/>
  <c r="S175" i="1"/>
  <c r="R177" i="1"/>
  <c r="T177" i="1" s="1"/>
  <c r="S177" i="1"/>
  <c r="R178" i="1"/>
  <c r="T178" i="1" s="1"/>
  <c r="S178" i="1"/>
  <c r="R179" i="1"/>
  <c r="T179" i="1" s="1"/>
  <c r="S179" i="1"/>
  <c r="R180" i="1"/>
  <c r="T180" i="1" s="1"/>
  <c r="S180" i="1"/>
  <c r="R181" i="1"/>
  <c r="T181" i="1" s="1"/>
  <c r="S181" i="1"/>
  <c r="R182" i="1"/>
  <c r="T182" i="1" s="1"/>
  <c r="S182" i="1"/>
  <c r="R183" i="1"/>
  <c r="T183" i="1" s="1"/>
  <c r="S183" i="1"/>
  <c r="R184" i="1"/>
  <c r="T184" i="1" s="1"/>
  <c r="S184" i="1"/>
  <c r="R185" i="1"/>
  <c r="T185" i="1" s="1"/>
  <c r="S185" i="1"/>
  <c r="R186" i="1"/>
  <c r="T186" i="1" s="1"/>
  <c r="S186" i="1"/>
  <c r="R187" i="1"/>
  <c r="T187" i="1" s="1"/>
  <c r="S187" i="1"/>
  <c r="R188" i="1"/>
  <c r="T188" i="1" s="1"/>
  <c r="S188" i="1"/>
  <c r="R189" i="1"/>
  <c r="T189" i="1" s="1"/>
  <c r="S189" i="1"/>
  <c r="R190" i="1"/>
  <c r="T190" i="1" s="1"/>
  <c r="S190" i="1"/>
  <c r="R191" i="1"/>
  <c r="T191" i="1" s="1"/>
  <c r="S191" i="1"/>
  <c r="R192" i="1"/>
  <c r="T192" i="1" s="1"/>
  <c r="S192" i="1"/>
  <c r="R193" i="1"/>
  <c r="T193" i="1" s="1"/>
  <c r="S193" i="1"/>
  <c r="R194" i="1"/>
  <c r="T194" i="1" s="1"/>
  <c r="S194" i="1"/>
  <c r="R195" i="1"/>
  <c r="T195" i="1" s="1"/>
  <c r="S195" i="1"/>
  <c r="R196" i="1"/>
  <c r="T196" i="1" s="1"/>
  <c r="S196" i="1"/>
  <c r="R197" i="1"/>
  <c r="T197" i="1" s="1"/>
  <c r="S197" i="1"/>
  <c r="R198" i="1"/>
  <c r="T198" i="1" s="1"/>
  <c r="S198" i="1"/>
  <c r="R199" i="1"/>
  <c r="T199" i="1" s="1"/>
  <c r="S199" i="1"/>
  <c r="R222" i="1"/>
  <c r="T222" i="1" s="1"/>
  <c r="S222" i="1"/>
  <c r="R223" i="1"/>
  <c r="T223" i="1" s="1"/>
  <c r="S223" i="1"/>
  <c r="R224" i="1"/>
  <c r="T224" i="1" s="1"/>
  <c r="S224" i="1"/>
  <c r="R225" i="1"/>
  <c r="T225" i="1" s="1"/>
  <c r="S225" i="1"/>
  <c r="R226" i="1"/>
  <c r="T226" i="1" s="1"/>
  <c r="S226" i="1"/>
  <c r="R228" i="1"/>
  <c r="T228" i="1" s="1"/>
  <c r="S228" i="1"/>
  <c r="R229" i="1"/>
  <c r="T229" i="1" s="1"/>
  <c r="S229" i="1"/>
  <c r="R230" i="1"/>
  <c r="T230" i="1" s="1"/>
  <c r="S230" i="1"/>
  <c r="R231" i="1"/>
  <c r="T231" i="1" s="1"/>
  <c r="S231" i="1"/>
  <c r="R232" i="1"/>
  <c r="T232" i="1" s="1"/>
  <c r="S232" i="1"/>
  <c r="R233" i="1"/>
  <c r="T233" i="1" s="1"/>
  <c r="S233" i="1"/>
  <c r="R234" i="1"/>
  <c r="T234" i="1" s="1"/>
  <c r="S234" i="1"/>
  <c r="R235" i="1"/>
  <c r="T235" i="1" s="1"/>
  <c r="S235" i="1"/>
  <c r="R236" i="1"/>
  <c r="T236" i="1" s="1"/>
  <c r="S236" i="1"/>
  <c r="R237" i="1"/>
  <c r="T237" i="1" s="1"/>
  <c r="S237" i="1"/>
  <c r="R238" i="1"/>
  <c r="T238" i="1" s="1"/>
  <c r="S238" i="1"/>
  <c r="R239" i="1"/>
  <c r="T239" i="1" s="1"/>
  <c r="S239" i="1"/>
  <c r="R240" i="1"/>
  <c r="T240" i="1" s="1"/>
  <c r="S240" i="1"/>
  <c r="R241" i="1"/>
  <c r="T241" i="1" s="1"/>
  <c r="S241" i="1"/>
  <c r="R242" i="1"/>
  <c r="T242" i="1" s="1"/>
  <c r="S242" i="1"/>
  <c r="R243" i="1"/>
  <c r="T243" i="1" s="1"/>
  <c r="S243" i="1"/>
  <c r="R244" i="1"/>
  <c r="T244" i="1" s="1"/>
  <c r="S244" i="1"/>
  <c r="R245" i="1"/>
  <c r="T245" i="1" s="1"/>
  <c r="S245" i="1"/>
  <c r="R246" i="1"/>
  <c r="T246" i="1" s="1"/>
  <c r="S246" i="1"/>
  <c r="R247" i="1"/>
  <c r="T247" i="1" s="1"/>
  <c r="S247" i="1"/>
  <c r="R248" i="1"/>
  <c r="T248" i="1" s="1"/>
  <c r="S248" i="1"/>
  <c r="R249" i="1"/>
  <c r="T249" i="1" s="1"/>
  <c r="S249" i="1"/>
  <c r="R250" i="1"/>
  <c r="T250" i="1" s="1"/>
  <c r="S250" i="1"/>
  <c r="R251" i="1"/>
  <c r="T251" i="1" s="1"/>
  <c r="S251" i="1"/>
  <c r="R252" i="1"/>
  <c r="T252" i="1" s="1"/>
  <c r="S252" i="1"/>
  <c r="R253" i="1"/>
  <c r="T253" i="1" s="1"/>
  <c r="S253" i="1"/>
  <c r="R254" i="1"/>
  <c r="T254" i="1" s="1"/>
  <c r="S254" i="1"/>
  <c r="R255" i="1"/>
  <c r="T255" i="1" s="1"/>
  <c r="S255" i="1"/>
  <c r="R256" i="1"/>
  <c r="T256" i="1" s="1"/>
  <c r="S256" i="1"/>
  <c r="R265" i="1"/>
  <c r="T265" i="1" s="1"/>
  <c r="S265" i="1"/>
  <c r="R266" i="1"/>
  <c r="T266" i="1" s="1"/>
  <c r="S266" i="1"/>
  <c r="R267" i="1"/>
  <c r="T267" i="1" s="1"/>
  <c r="S267" i="1"/>
  <c r="R268" i="1"/>
  <c r="T268" i="1" s="1"/>
  <c r="S268" i="1"/>
  <c r="R269" i="1"/>
  <c r="T269" i="1" s="1"/>
  <c r="S269" i="1"/>
  <c r="R270" i="1"/>
  <c r="T270" i="1" s="1"/>
  <c r="S270" i="1"/>
  <c r="R271" i="1"/>
  <c r="T271" i="1" s="1"/>
  <c r="S271" i="1"/>
  <c r="R272" i="1"/>
  <c r="T272" i="1" s="1"/>
  <c r="S272" i="1"/>
  <c r="R273" i="1"/>
  <c r="T273" i="1" s="1"/>
  <c r="S273" i="1"/>
  <c r="R274" i="1"/>
  <c r="T274" i="1" s="1"/>
  <c r="S274" i="1"/>
  <c r="R275" i="1"/>
  <c r="T275" i="1" s="1"/>
  <c r="S275" i="1"/>
  <c r="R276" i="1"/>
  <c r="T276" i="1" s="1"/>
  <c r="S276" i="1"/>
  <c r="R277" i="1"/>
  <c r="T277" i="1" s="1"/>
  <c r="S277" i="1"/>
  <c r="R278" i="1"/>
  <c r="T278" i="1" s="1"/>
  <c r="S278" i="1"/>
  <c r="R279" i="1"/>
  <c r="T279" i="1" s="1"/>
  <c r="S279" i="1"/>
  <c r="R281" i="1"/>
  <c r="T281" i="1" s="1"/>
  <c r="S281" i="1"/>
  <c r="R282" i="1"/>
  <c r="T282" i="1" s="1"/>
  <c r="S282" i="1"/>
  <c r="R283" i="1"/>
  <c r="T283" i="1" s="1"/>
  <c r="S283" i="1"/>
  <c r="R284" i="1"/>
  <c r="T284" i="1" s="1"/>
  <c r="S284" i="1"/>
  <c r="R285" i="1"/>
  <c r="T285" i="1" s="1"/>
  <c r="S285" i="1"/>
  <c r="R286" i="1"/>
  <c r="T286" i="1" s="1"/>
  <c r="S286" i="1"/>
  <c r="R287" i="1"/>
  <c r="T287" i="1" s="1"/>
  <c r="S287" i="1"/>
  <c r="R288" i="1"/>
  <c r="T288" i="1" s="1"/>
  <c r="S288" i="1"/>
  <c r="R289" i="1"/>
  <c r="T289" i="1" s="1"/>
  <c r="S289" i="1"/>
  <c r="R290" i="1"/>
  <c r="T290" i="1" s="1"/>
  <c r="S290" i="1"/>
  <c r="R291" i="1"/>
  <c r="T291" i="1" s="1"/>
  <c r="S291" i="1"/>
  <c r="R292" i="1"/>
  <c r="T292" i="1" s="1"/>
  <c r="S292" i="1"/>
  <c r="R293" i="1"/>
  <c r="T293" i="1" s="1"/>
  <c r="S293" i="1"/>
  <c r="R294" i="1"/>
  <c r="T294" i="1" s="1"/>
  <c r="S294" i="1"/>
  <c r="R295" i="1"/>
  <c r="T295" i="1" s="1"/>
  <c r="S295" i="1"/>
  <c r="R296" i="1"/>
  <c r="T296" i="1" s="1"/>
  <c r="S296" i="1"/>
  <c r="R297" i="1"/>
  <c r="T297" i="1" s="1"/>
  <c r="S297" i="1"/>
  <c r="R298" i="1"/>
  <c r="T298" i="1" s="1"/>
  <c r="S298" i="1"/>
  <c r="R299" i="1"/>
  <c r="T299" i="1" s="1"/>
  <c r="S299" i="1"/>
  <c r="R300" i="1"/>
  <c r="T300" i="1" s="1"/>
  <c r="S300" i="1"/>
  <c r="R301" i="1"/>
  <c r="T301" i="1" s="1"/>
  <c r="S301" i="1"/>
  <c r="R302" i="1"/>
  <c r="T302" i="1" s="1"/>
  <c r="S302" i="1"/>
  <c r="R303" i="1"/>
  <c r="T303" i="1" s="1"/>
  <c r="S303" i="1"/>
  <c r="R304" i="1"/>
  <c r="T304" i="1" s="1"/>
  <c r="S304" i="1"/>
  <c r="R305" i="1"/>
  <c r="T305" i="1" s="1"/>
  <c r="S305" i="1"/>
  <c r="R306" i="1"/>
  <c r="T306" i="1" s="1"/>
  <c r="S306" i="1"/>
  <c r="R307" i="1"/>
  <c r="T307" i="1" s="1"/>
  <c r="S307" i="1"/>
  <c r="R308" i="1"/>
  <c r="T308" i="1" s="1"/>
  <c r="S308" i="1"/>
  <c r="R309" i="1"/>
  <c r="T309" i="1" s="1"/>
  <c r="S309" i="1"/>
  <c r="R310" i="1"/>
  <c r="T310" i="1" s="1"/>
  <c r="S310" i="1"/>
  <c r="R311" i="1"/>
  <c r="T311" i="1" s="1"/>
  <c r="S311" i="1"/>
  <c r="R312" i="1"/>
  <c r="T312" i="1" s="1"/>
  <c r="S312" i="1"/>
  <c r="R313" i="1"/>
  <c r="T313" i="1" s="1"/>
  <c r="S313" i="1"/>
  <c r="R314" i="1"/>
  <c r="T314" i="1" s="1"/>
  <c r="S314" i="1"/>
  <c r="R333" i="1"/>
  <c r="T333" i="1" s="1"/>
  <c r="S333" i="1"/>
  <c r="R334" i="1"/>
  <c r="T334" i="1" s="1"/>
  <c r="S334" i="1"/>
  <c r="R335" i="1"/>
  <c r="T335" i="1" s="1"/>
  <c r="S335" i="1"/>
  <c r="R336" i="1"/>
  <c r="T336" i="1" s="1"/>
  <c r="S336" i="1"/>
  <c r="R337" i="1"/>
  <c r="T337" i="1" s="1"/>
  <c r="S337" i="1"/>
  <c r="R338" i="1"/>
  <c r="T338" i="1" s="1"/>
  <c r="S338" i="1"/>
  <c r="R339" i="1"/>
  <c r="T339" i="1" s="1"/>
  <c r="S339" i="1"/>
  <c r="R340" i="1"/>
  <c r="T340" i="1" s="1"/>
  <c r="S340" i="1"/>
  <c r="R341" i="1"/>
  <c r="T341" i="1" s="1"/>
  <c r="S341" i="1"/>
  <c r="R342" i="1"/>
  <c r="T342" i="1" s="1"/>
  <c r="S342" i="1"/>
  <c r="R343" i="1"/>
  <c r="T343" i="1" s="1"/>
  <c r="S343" i="1"/>
  <c r="R344" i="1"/>
  <c r="T344" i="1" s="1"/>
  <c r="S344" i="1"/>
  <c r="R345" i="1"/>
  <c r="T345" i="1" s="1"/>
  <c r="S345" i="1"/>
  <c r="R346" i="1"/>
  <c r="T346" i="1" s="1"/>
  <c r="S346" i="1"/>
  <c r="R347" i="1"/>
  <c r="T347" i="1" s="1"/>
  <c r="S347" i="1"/>
  <c r="R348" i="1"/>
  <c r="T348" i="1" s="1"/>
  <c r="S348" i="1"/>
  <c r="R349" i="1"/>
  <c r="T349" i="1" s="1"/>
  <c r="S349" i="1"/>
  <c r="R350" i="1"/>
  <c r="T350" i="1" s="1"/>
  <c r="S350" i="1"/>
  <c r="R351" i="1"/>
  <c r="T351" i="1" s="1"/>
  <c r="S351" i="1"/>
  <c r="R352" i="1"/>
  <c r="T352" i="1" s="1"/>
  <c r="S352" i="1"/>
  <c r="R353" i="1"/>
  <c r="T353" i="1" s="1"/>
  <c r="S353" i="1"/>
  <c r="R354" i="1"/>
  <c r="T354" i="1" s="1"/>
  <c r="S354" i="1"/>
  <c r="R355" i="1"/>
  <c r="T355" i="1" s="1"/>
  <c r="S355" i="1"/>
  <c r="R356" i="1"/>
  <c r="T356" i="1" s="1"/>
  <c r="S356" i="1"/>
  <c r="R357" i="1"/>
  <c r="T357" i="1" s="1"/>
  <c r="S357" i="1"/>
  <c r="R358" i="1"/>
  <c r="T358" i="1" s="1"/>
  <c r="S358" i="1"/>
  <c r="R359" i="1"/>
  <c r="T359" i="1" s="1"/>
  <c r="S359" i="1"/>
  <c r="R360" i="1"/>
  <c r="T360" i="1" s="1"/>
  <c r="S360" i="1"/>
  <c r="R361" i="1"/>
  <c r="T361" i="1" s="1"/>
  <c r="S361" i="1"/>
  <c r="R362" i="1"/>
  <c r="T362" i="1" s="1"/>
  <c r="S362" i="1"/>
  <c r="R363" i="1"/>
  <c r="T363" i="1" s="1"/>
  <c r="S363" i="1"/>
  <c r="R364" i="1"/>
  <c r="T364" i="1" s="1"/>
  <c r="S364" i="1"/>
  <c r="R365" i="1"/>
  <c r="T365" i="1" s="1"/>
  <c r="S365" i="1"/>
  <c r="R366" i="1"/>
  <c r="T366" i="1" s="1"/>
  <c r="S366" i="1"/>
  <c r="R367" i="1"/>
  <c r="T367" i="1" s="1"/>
  <c r="S367" i="1"/>
  <c r="R368" i="1"/>
  <c r="T368" i="1" s="1"/>
  <c r="S368" i="1"/>
  <c r="R369" i="1"/>
  <c r="T369" i="1" s="1"/>
  <c r="S369" i="1"/>
  <c r="R370" i="1"/>
  <c r="T370" i="1" s="1"/>
  <c r="S370" i="1"/>
  <c r="R371" i="1"/>
  <c r="T371" i="1" s="1"/>
  <c r="S371" i="1"/>
  <c r="R426" i="1"/>
  <c r="T426" i="1" s="1"/>
  <c r="S426" i="1"/>
  <c r="R427" i="1"/>
  <c r="T427" i="1" s="1"/>
  <c r="S427" i="1"/>
  <c r="R428" i="1"/>
  <c r="T428" i="1" s="1"/>
  <c r="S428" i="1"/>
  <c r="R429" i="1"/>
  <c r="T429" i="1" s="1"/>
  <c r="S429" i="1"/>
  <c r="R430" i="1"/>
  <c r="T430" i="1" s="1"/>
  <c r="S430" i="1"/>
  <c r="R431" i="1"/>
  <c r="T431" i="1" s="1"/>
  <c r="S431" i="1"/>
  <c r="R432" i="1"/>
  <c r="T432" i="1" s="1"/>
  <c r="S432" i="1"/>
  <c r="R433" i="1"/>
  <c r="T433" i="1" s="1"/>
  <c r="S433" i="1"/>
  <c r="R434" i="1"/>
  <c r="T434" i="1" s="1"/>
  <c r="S434" i="1"/>
  <c r="R435" i="1"/>
  <c r="T435" i="1" s="1"/>
  <c r="S435" i="1"/>
  <c r="R436" i="1"/>
  <c r="T436" i="1" s="1"/>
  <c r="S436" i="1"/>
  <c r="R437" i="1"/>
  <c r="T437" i="1" s="1"/>
  <c r="S437" i="1"/>
  <c r="R439" i="1"/>
  <c r="T439" i="1" s="1"/>
  <c r="S439" i="1"/>
  <c r="R440" i="1"/>
  <c r="T440" i="1" s="1"/>
  <c r="S440" i="1"/>
  <c r="R441" i="1"/>
  <c r="T441" i="1" s="1"/>
  <c r="S441" i="1"/>
  <c r="R442" i="1"/>
  <c r="T442" i="1" s="1"/>
  <c r="S442" i="1"/>
  <c r="R443" i="1"/>
  <c r="T443" i="1" s="1"/>
  <c r="S443" i="1"/>
  <c r="R444" i="1"/>
  <c r="T444" i="1" s="1"/>
  <c r="S444" i="1"/>
  <c r="R445" i="1"/>
  <c r="T445" i="1" s="1"/>
  <c r="S445" i="1"/>
  <c r="R446" i="1"/>
  <c r="T446" i="1" s="1"/>
  <c r="S446" i="1"/>
  <c r="R447" i="1"/>
  <c r="T447" i="1" s="1"/>
  <c r="S447" i="1"/>
  <c r="R448" i="1"/>
  <c r="T448" i="1" s="1"/>
  <c r="S448" i="1"/>
  <c r="R449" i="1"/>
  <c r="T449" i="1" s="1"/>
  <c r="S449" i="1"/>
  <c r="R450" i="1"/>
  <c r="T450" i="1" s="1"/>
  <c r="S450" i="1"/>
  <c r="R451" i="1"/>
  <c r="T451" i="1" s="1"/>
  <c r="S451" i="1"/>
  <c r="R452" i="1"/>
  <c r="T452" i="1" s="1"/>
  <c r="S452" i="1"/>
  <c r="R453" i="1"/>
  <c r="T453" i="1" s="1"/>
  <c r="S453" i="1"/>
  <c r="R454" i="1"/>
  <c r="T454" i="1" s="1"/>
  <c r="S454" i="1"/>
  <c r="R455" i="1"/>
  <c r="T455" i="1" s="1"/>
  <c r="S455" i="1"/>
  <c r="R456" i="1"/>
  <c r="T456" i="1" s="1"/>
  <c r="S456" i="1"/>
  <c r="R501" i="1"/>
  <c r="T501" i="1" s="1"/>
  <c r="S501" i="1"/>
  <c r="R502" i="1"/>
  <c r="T502" i="1" s="1"/>
  <c r="S502" i="1"/>
  <c r="R503" i="1"/>
  <c r="T503" i="1" s="1"/>
  <c r="S503" i="1"/>
  <c r="R504" i="1"/>
  <c r="T504" i="1" s="1"/>
  <c r="S504" i="1"/>
  <c r="R505" i="1"/>
  <c r="T505" i="1" s="1"/>
  <c r="S505" i="1"/>
  <c r="R506" i="1"/>
  <c r="T506" i="1" s="1"/>
  <c r="S506" i="1"/>
  <c r="R507" i="1"/>
  <c r="T507" i="1" s="1"/>
  <c r="S507" i="1"/>
  <c r="R508" i="1"/>
  <c r="T508" i="1" s="1"/>
  <c r="S508" i="1"/>
  <c r="R509" i="1"/>
  <c r="T509" i="1" s="1"/>
  <c r="S509" i="1"/>
  <c r="R510" i="1"/>
  <c r="T510" i="1" s="1"/>
  <c r="S510" i="1"/>
  <c r="R511" i="1"/>
  <c r="T511" i="1" s="1"/>
  <c r="S511" i="1"/>
  <c r="R512" i="1"/>
  <c r="T512" i="1" s="1"/>
  <c r="S512" i="1"/>
  <c r="R513" i="1"/>
  <c r="T513" i="1" s="1"/>
  <c r="S513" i="1"/>
  <c r="R514" i="1"/>
  <c r="T514" i="1" s="1"/>
  <c r="S514" i="1"/>
  <c r="R515" i="1"/>
  <c r="T515" i="1" s="1"/>
  <c r="S515" i="1"/>
  <c r="R516" i="1"/>
  <c r="T516" i="1" s="1"/>
  <c r="S516" i="1"/>
  <c r="R517" i="1"/>
  <c r="T517" i="1" s="1"/>
  <c r="S517" i="1"/>
  <c r="R518" i="1"/>
  <c r="T518" i="1" s="1"/>
  <c r="S518" i="1"/>
  <c r="R519" i="1"/>
  <c r="T519" i="1" s="1"/>
  <c r="S519" i="1"/>
  <c r="R520" i="1"/>
  <c r="T520" i="1" s="1"/>
  <c r="S520" i="1"/>
  <c r="R521" i="1"/>
  <c r="T521" i="1" s="1"/>
  <c r="S521" i="1"/>
  <c r="R522" i="1"/>
  <c r="T522" i="1" s="1"/>
  <c r="S522" i="1"/>
  <c r="R523" i="1"/>
  <c r="T523" i="1" s="1"/>
  <c r="S523" i="1"/>
  <c r="R524" i="1"/>
  <c r="T524" i="1" s="1"/>
  <c r="S524" i="1"/>
  <c r="R525" i="1"/>
  <c r="T525" i="1" s="1"/>
  <c r="S525" i="1"/>
  <c r="R526" i="1"/>
  <c r="T526" i="1" s="1"/>
  <c r="S526" i="1"/>
  <c r="R527" i="1"/>
  <c r="T527" i="1" s="1"/>
  <c r="S527" i="1"/>
  <c r="R528" i="1"/>
  <c r="T528" i="1" s="1"/>
  <c r="S528" i="1"/>
  <c r="R529" i="1"/>
  <c r="T529" i="1" s="1"/>
  <c r="S529" i="1"/>
  <c r="R554" i="1"/>
  <c r="T554" i="1" s="1"/>
  <c r="S554" i="1"/>
  <c r="R555" i="1"/>
  <c r="T555" i="1" s="1"/>
  <c r="S555" i="1"/>
  <c r="R556" i="1"/>
  <c r="T556" i="1" s="1"/>
  <c r="S556" i="1"/>
  <c r="R557" i="1"/>
  <c r="T557" i="1" s="1"/>
  <c r="S557" i="1"/>
  <c r="R558" i="1"/>
  <c r="T558" i="1" s="1"/>
  <c r="S558" i="1"/>
  <c r="R559" i="1"/>
  <c r="T559" i="1" s="1"/>
  <c r="S559" i="1"/>
  <c r="R560" i="1"/>
  <c r="T560" i="1" s="1"/>
  <c r="S560" i="1"/>
  <c r="R561" i="1"/>
  <c r="T561" i="1" s="1"/>
  <c r="S561" i="1"/>
  <c r="R562" i="1"/>
  <c r="T562" i="1" s="1"/>
  <c r="S562" i="1"/>
  <c r="R563" i="1"/>
  <c r="T563" i="1" s="1"/>
  <c r="S563" i="1"/>
  <c r="R564" i="1"/>
  <c r="T564" i="1" s="1"/>
  <c r="S564" i="1"/>
  <c r="R565" i="1"/>
  <c r="T565" i="1" s="1"/>
  <c r="S565" i="1"/>
  <c r="R566" i="1"/>
  <c r="T566" i="1" s="1"/>
  <c r="S566" i="1"/>
  <c r="R567" i="1"/>
  <c r="T567" i="1" s="1"/>
  <c r="S567" i="1"/>
  <c r="R568" i="1"/>
  <c r="T568" i="1" s="1"/>
  <c r="S568" i="1"/>
  <c r="R569" i="1"/>
  <c r="T569" i="1" s="1"/>
  <c r="S569" i="1"/>
  <c r="R570" i="1"/>
  <c r="T570" i="1" s="1"/>
  <c r="S570" i="1"/>
  <c r="R571" i="1"/>
  <c r="T571" i="1" s="1"/>
  <c r="S571" i="1"/>
  <c r="R572" i="1"/>
  <c r="T572" i="1" s="1"/>
  <c r="S572" i="1"/>
  <c r="R573" i="1"/>
  <c r="T573" i="1" s="1"/>
  <c r="S573" i="1"/>
  <c r="R574" i="1"/>
  <c r="T574" i="1" s="1"/>
  <c r="S574" i="1"/>
  <c r="R575" i="1"/>
  <c r="T575" i="1" s="1"/>
  <c r="S575" i="1"/>
  <c r="R576" i="1"/>
  <c r="T576" i="1" s="1"/>
  <c r="S576" i="1"/>
  <c r="R577" i="1"/>
  <c r="T577" i="1" s="1"/>
  <c r="S577" i="1"/>
  <c r="R578" i="1"/>
  <c r="T578" i="1" s="1"/>
  <c r="S578" i="1"/>
  <c r="R591" i="1"/>
  <c r="T591" i="1" s="1"/>
  <c r="S591" i="1"/>
  <c r="R592" i="1"/>
  <c r="T592" i="1" s="1"/>
  <c r="S592" i="1"/>
  <c r="R593" i="1"/>
  <c r="T593" i="1" s="1"/>
  <c r="S593" i="1"/>
  <c r="R594" i="1"/>
  <c r="T594" i="1" s="1"/>
  <c r="S594" i="1"/>
  <c r="R595" i="1"/>
  <c r="T595" i="1" s="1"/>
  <c r="S595" i="1"/>
  <c r="R597" i="1"/>
  <c r="T597" i="1" s="1"/>
  <c r="S597" i="1"/>
  <c r="R636" i="1"/>
  <c r="T636" i="1" s="1"/>
  <c r="S636" i="1"/>
  <c r="R637" i="1"/>
  <c r="T637" i="1" s="1"/>
  <c r="S637" i="1"/>
  <c r="R638" i="1"/>
  <c r="T638" i="1" s="1"/>
  <c r="S638" i="1"/>
  <c r="R639" i="1"/>
  <c r="T639" i="1" s="1"/>
  <c r="S639" i="1"/>
  <c r="R640" i="1"/>
  <c r="T640" i="1" s="1"/>
  <c r="S640" i="1"/>
  <c r="R641" i="1"/>
  <c r="T641" i="1" s="1"/>
  <c r="S641" i="1"/>
  <c r="R642" i="1"/>
  <c r="T642" i="1" s="1"/>
  <c r="S642" i="1"/>
  <c r="R643" i="1"/>
  <c r="T643" i="1" s="1"/>
  <c r="S643" i="1"/>
  <c r="R644" i="1"/>
  <c r="T644" i="1" s="1"/>
  <c r="S644" i="1"/>
  <c r="R645" i="1"/>
  <c r="T645" i="1" s="1"/>
  <c r="S645" i="1"/>
  <c r="R646" i="1"/>
  <c r="T646" i="1" s="1"/>
  <c r="S646" i="1"/>
  <c r="R647" i="1"/>
  <c r="T647" i="1" s="1"/>
  <c r="S647" i="1"/>
  <c r="R648" i="1"/>
  <c r="T648" i="1" s="1"/>
  <c r="S648" i="1"/>
  <c r="R649" i="1"/>
  <c r="T649" i="1" s="1"/>
  <c r="S649" i="1"/>
  <c r="R650" i="1"/>
  <c r="T650" i="1" s="1"/>
  <c r="S650" i="1"/>
  <c r="R651" i="1"/>
  <c r="T651" i="1" s="1"/>
  <c r="S651" i="1"/>
  <c r="R652" i="1"/>
  <c r="T652" i="1" s="1"/>
  <c r="S652" i="1"/>
  <c r="R653" i="1"/>
  <c r="T653" i="1" s="1"/>
  <c r="S653" i="1"/>
  <c r="R654" i="1"/>
  <c r="T654" i="1" s="1"/>
  <c r="S654" i="1"/>
  <c r="R655" i="1"/>
  <c r="T655" i="1" s="1"/>
  <c r="S655" i="1"/>
  <c r="R656" i="1"/>
  <c r="T656" i="1" s="1"/>
  <c r="S656" i="1"/>
  <c r="R657" i="1"/>
  <c r="T657" i="1" s="1"/>
  <c r="S657" i="1"/>
  <c r="R658" i="1"/>
  <c r="T658" i="1" s="1"/>
  <c r="S658" i="1"/>
  <c r="R659" i="1"/>
  <c r="T659" i="1" s="1"/>
  <c r="S659" i="1"/>
  <c r="R660" i="1"/>
  <c r="T660" i="1" s="1"/>
  <c r="S660" i="1"/>
  <c r="R661" i="1"/>
  <c r="T661" i="1" s="1"/>
  <c r="S661" i="1"/>
  <c r="R662" i="1"/>
  <c r="T662" i="1" s="1"/>
  <c r="S662" i="1"/>
  <c r="R663" i="1"/>
  <c r="T663" i="1" s="1"/>
  <c r="S663" i="1"/>
  <c r="R664" i="1"/>
  <c r="T664" i="1" s="1"/>
  <c r="S664" i="1"/>
  <c r="R665" i="1"/>
  <c r="T665" i="1" s="1"/>
  <c r="S665" i="1"/>
  <c r="R725" i="1"/>
  <c r="T725" i="1" s="1"/>
  <c r="S725" i="1"/>
  <c r="R726" i="1"/>
  <c r="T726" i="1" s="1"/>
  <c r="S726" i="1"/>
  <c r="R727" i="1"/>
  <c r="T727" i="1" s="1"/>
  <c r="S727" i="1"/>
  <c r="R728" i="1"/>
  <c r="T728" i="1" s="1"/>
  <c r="S728" i="1"/>
  <c r="R729" i="1"/>
  <c r="T729" i="1" s="1"/>
  <c r="S729" i="1"/>
  <c r="R730" i="1"/>
  <c r="T730" i="1" s="1"/>
  <c r="S730" i="1"/>
  <c r="R731" i="1"/>
  <c r="T731" i="1" s="1"/>
  <c r="S731" i="1"/>
  <c r="R732" i="1"/>
  <c r="T732" i="1" s="1"/>
  <c r="S732" i="1"/>
  <c r="R733" i="1"/>
  <c r="T733" i="1" s="1"/>
  <c r="S733" i="1"/>
  <c r="R734" i="1"/>
  <c r="T734" i="1" s="1"/>
  <c r="S734" i="1"/>
  <c r="R735" i="1"/>
  <c r="T735" i="1" s="1"/>
  <c r="S735" i="1"/>
  <c r="R736" i="1"/>
  <c r="T736" i="1" s="1"/>
  <c r="S736" i="1"/>
  <c r="R737" i="1"/>
  <c r="T737" i="1" s="1"/>
  <c r="S737" i="1"/>
  <c r="R738" i="1"/>
  <c r="T738" i="1" s="1"/>
  <c r="S738" i="1"/>
  <c r="R739" i="1"/>
  <c r="T739" i="1" s="1"/>
  <c r="S739" i="1"/>
  <c r="R740" i="1"/>
  <c r="T740" i="1" s="1"/>
  <c r="S740" i="1"/>
  <c r="R742" i="1"/>
  <c r="T742" i="1" s="1"/>
  <c r="S742" i="1"/>
  <c r="R743" i="1"/>
  <c r="T743" i="1" s="1"/>
  <c r="S743" i="1"/>
  <c r="R744" i="1"/>
  <c r="T744" i="1" s="1"/>
  <c r="S744" i="1"/>
  <c r="R745" i="1"/>
  <c r="T745" i="1" s="1"/>
  <c r="S745" i="1"/>
  <c r="R746" i="1"/>
  <c r="T746" i="1" s="1"/>
  <c r="S746" i="1"/>
  <c r="R747" i="1"/>
  <c r="T747" i="1" s="1"/>
  <c r="S747" i="1"/>
  <c r="R748" i="1"/>
  <c r="T748" i="1" s="1"/>
  <c r="S748" i="1"/>
  <c r="R749" i="1"/>
  <c r="T749" i="1" s="1"/>
  <c r="S749" i="1"/>
  <c r="R750" i="1"/>
  <c r="T750" i="1" s="1"/>
  <c r="S750" i="1"/>
  <c r="R751" i="1"/>
  <c r="T751" i="1" s="1"/>
  <c r="S751" i="1"/>
  <c r="R752" i="1"/>
  <c r="T752" i="1" s="1"/>
  <c r="S752" i="1"/>
  <c r="R754" i="1"/>
  <c r="T754" i="1" s="1"/>
  <c r="S754" i="1"/>
  <c r="R755" i="1"/>
  <c r="T755" i="1" s="1"/>
  <c r="S755" i="1"/>
  <c r="R756" i="1"/>
  <c r="T756" i="1" s="1"/>
  <c r="S756" i="1"/>
  <c r="R757" i="1"/>
  <c r="T757" i="1" s="1"/>
  <c r="S757" i="1"/>
  <c r="R758" i="1"/>
  <c r="T758" i="1" s="1"/>
  <c r="S758" i="1"/>
  <c r="R759" i="1"/>
  <c r="T759" i="1" s="1"/>
  <c r="S759" i="1"/>
  <c r="U696" i="1" l="1"/>
  <c r="V696" i="1" s="1"/>
  <c r="R696" i="1"/>
  <c r="T696" i="1" s="1"/>
  <c r="S696" i="1"/>
  <c r="U579" i="1"/>
  <c r="V579" i="1" s="1"/>
  <c r="R579" i="1"/>
  <c r="T579" i="1" s="1"/>
  <c r="S579" i="1"/>
  <c r="U580" i="1"/>
  <c r="V580" i="1" s="1"/>
  <c r="R580" i="1"/>
  <c r="T580" i="1" s="1"/>
  <c r="S580" i="1"/>
  <c r="U581" i="1"/>
  <c r="V581" i="1" s="1"/>
  <c r="R581" i="1"/>
  <c r="T581" i="1" s="1"/>
  <c r="S581" i="1"/>
  <c r="U582" i="1"/>
  <c r="V582" i="1" s="1"/>
  <c r="R582" i="1"/>
  <c r="T582" i="1" s="1"/>
  <c r="S582" i="1"/>
  <c r="U583" i="1"/>
  <c r="V583" i="1" s="1"/>
  <c r="R583" i="1"/>
  <c r="T583" i="1" s="1"/>
  <c r="S583" i="1"/>
  <c r="U584" i="1"/>
  <c r="V584" i="1" s="1"/>
  <c r="R584" i="1"/>
  <c r="T584" i="1" s="1"/>
  <c r="S584" i="1"/>
  <c r="U585" i="1"/>
  <c r="V585" i="1" s="1"/>
  <c r="R585" i="1"/>
  <c r="T585" i="1" s="1"/>
  <c r="S585" i="1"/>
  <c r="U586" i="1"/>
  <c r="V586" i="1" s="1"/>
  <c r="R586" i="1"/>
  <c r="T586" i="1" s="1"/>
  <c r="S586" i="1"/>
  <c r="U587" i="1"/>
  <c r="V587" i="1" s="1"/>
  <c r="R587" i="1"/>
  <c r="T587" i="1" s="1"/>
  <c r="S587" i="1"/>
  <c r="U588" i="1"/>
  <c r="V588" i="1" s="1"/>
  <c r="R588" i="1"/>
  <c r="T588" i="1" s="1"/>
  <c r="S588" i="1"/>
  <c r="U741" i="1"/>
  <c r="V741" i="1" s="1"/>
  <c r="R741" i="1"/>
  <c r="T741" i="1" s="1"/>
  <c r="S741" i="1"/>
  <c r="U176" i="1"/>
  <c r="V176" i="1" s="1"/>
  <c r="R176" i="1"/>
  <c r="T176" i="1" s="1"/>
  <c r="S176" i="1"/>
  <c r="U760" i="1"/>
  <c r="V760" i="1" s="1"/>
  <c r="S760" i="1"/>
  <c r="R760" i="1"/>
  <c r="T760" i="1" s="1"/>
  <c r="U761" i="1"/>
  <c r="V761" i="1" s="1"/>
  <c r="R761" i="1"/>
  <c r="T761" i="1" s="1"/>
  <c r="S761" i="1"/>
  <c r="U762" i="1"/>
  <c r="V762" i="1" s="1"/>
  <c r="R762" i="1"/>
  <c r="T762" i="1" s="1"/>
  <c r="S762" i="1"/>
  <c r="U763" i="1"/>
  <c r="V763" i="1" s="1"/>
  <c r="R763" i="1"/>
  <c r="T763" i="1" s="1"/>
  <c r="S763" i="1"/>
  <c r="U764" i="1"/>
  <c r="V764" i="1" s="1"/>
  <c r="R764" i="1"/>
  <c r="T764" i="1" s="1"/>
  <c r="S764" i="1"/>
  <c r="U765" i="1"/>
  <c r="V765" i="1" s="1"/>
  <c r="R765" i="1"/>
  <c r="T765" i="1" s="1"/>
  <c r="S765" i="1"/>
  <c r="U766" i="1"/>
  <c r="V766" i="1" s="1"/>
  <c r="S766" i="1"/>
  <c r="R766" i="1"/>
  <c r="T766" i="1" s="1"/>
  <c r="U767" i="1"/>
  <c r="V767" i="1" s="1"/>
  <c r="S767" i="1"/>
  <c r="R767" i="1"/>
  <c r="T767" i="1" s="1"/>
  <c r="U768" i="1"/>
  <c r="V768" i="1" s="1"/>
  <c r="S768" i="1"/>
  <c r="R768" i="1"/>
  <c r="T768" i="1" s="1"/>
  <c r="U769" i="1"/>
  <c r="V769" i="1" s="1"/>
  <c r="S769" i="1"/>
  <c r="R769" i="1"/>
  <c r="T769" i="1" s="1"/>
  <c r="U770" i="1"/>
  <c r="V770" i="1" s="1"/>
  <c r="R770" i="1"/>
  <c r="T770" i="1" s="1"/>
  <c r="S770" i="1"/>
  <c r="U771" i="1"/>
  <c r="V771" i="1" s="1"/>
  <c r="R771" i="1"/>
  <c r="T771" i="1" s="1"/>
  <c r="S771" i="1"/>
  <c r="U772" i="1"/>
  <c r="V772" i="1" s="1"/>
  <c r="R772" i="1"/>
  <c r="T772" i="1" s="1"/>
  <c r="S772" i="1"/>
  <c r="U773" i="1"/>
  <c r="V773" i="1" s="1"/>
  <c r="S773" i="1"/>
  <c r="R773" i="1"/>
  <c r="T773" i="1" s="1"/>
  <c r="U774" i="1"/>
  <c r="V774" i="1" s="1"/>
  <c r="R774" i="1"/>
  <c r="T774" i="1" s="1"/>
  <c r="S774" i="1"/>
  <c r="U775" i="1"/>
  <c r="V775" i="1" s="1"/>
  <c r="R775" i="1"/>
  <c r="T775" i="1" s="1"/>
  <c r="S775" i="1"/>
  <c r="U776" i="1"/>
  <c r="V776" i="1" s="1"/>
  <c r="R776" i="1"/>
  <c r="T776" i="1" s="1"/>
  <c r="S776" i="1"/>
  <c r="U777" i="1"/>
  <c r="V777" i="1" s="1"/>
  <c r="S777" i="1"/>
  <c r="R777" i="1"/>
  <c r="T777" i="1" s="1"/>
  <c r="U778" i="1"/>
  <c r="V778" i="1" s="1"/>
  <c r="R778" i="1"/>
  <c r="T778" i="1" s="1"/>
  <c r="S778" i="1"/>
  <c r="U3" i="1"/>
  <c r="V3" i="1" s="1"/>
  <c r="R3" i="1"/>
  <c r="T3" i="1" s="1"/>
  <c r="S3" i="1"/>
  <c r="U4" i="1"/>
  <c r="V4" i="1" s="1"/>
  <c r="S4" i="1"/>
  <c r="R4" i="1"/>
  <c r="T4" i="1" s="1"/>
  <c r="U202" i="1"/>
  <c r="V202" i="1" s="1"/>
  <c r="S202" i="1"/>
  <c r="R202" i="1"/>
  <c r="T202" i="1" s="1"/>
  <c r="U203" i="1"/>
  <c r="V203" i="1" s="1"/>
  <c r="S203" i="1"/>
  <c r="R203" i="1"/>
  <c r="T203" i="1" s="1"/>
  <c r="U204" i="1"/>
  <c r="V204" i="1" s="1"/>
  <c r="S204" i="1"/>
  <c r="R204" i="1"/>
  <c r="T204" i="1" s="1"/>
  <c r="U205" i="1"/>
  <c r="V205" i="1" s="1"/>
  <c r="S205" i="1"/>
  <c r="R205" i="1"/>
  <c r="T205" i="1" s="1"/>
  <c r="U206" i="1"/>
  <c r="V206" i="1" s="1"/>
  <c r="R206" i="1"/>
  <c r="T206" i="1" s="1"/>
  <c r="S206" i="1"/>
  <c r="U207" i="1"/>
  <c r="V207" i="1" s="1"/>
  <c r="S207" i="1"/>
  <c r="R207" i="1"/>
  <c r="T207" i="1" s="1"/>
  <c r="U208" i="1"/>
  <c r="V208" i="1" s="1"/>
  <c r="S208" i="1"/>
  <c r="R208" i="1"/>
  <c r="T208" i="1" s="1"/>
  <c r="U209" i="1"/>
  <c r="V209" i="1" s="1"/>
  <c r="S209" i="1"/>
  <c r="R209" i="1"/>
  <c r="T209" i="1" s="1"/>
  <c r="U210" i="1"/>
  <c r="V210" i="1" s="1"/>
  <c r="S210" i="1"/>
  <c r="R210" i="1"/>
  <c r="T210" i="1" s="1"/>
  <c r="U211" i="1"/>
  <c r="V211" i="1" s="1"/>
  <c r="R211" i="1"/>
  <c r="T211" i="1" s="1"/>
  <c r="S211" i="1"/>
  <c r="U212" i="1"/>
  <c r="V212" i="1" s="1"/>
  <c r="R212" i="1"/>
  <c r="T212" i="1" s="1"/>
  <c r="S212" i="1"/>
  <c r="U213" i="1"/>
  <c r="V213" i="1" s="1"/>
  <c r="R213" i="1"/>
  <c r="T213" i="1" s="1"/>
  <c r="S213" i="1"/>
  <c r="U214" i="1"/>
  <c r="V214" i="1" s="1"/>
  <c r="R214" i="1"/>
  <c r="T214" i="1" s="1"/>
  <c r="S214" i="1"/>
  <c r="U215" i="1"/>
  <c r="V215" i="1" s="1"/>
  <c r="R215" i="1"/>
  <c r="T215" i="1" s="1"/>
  <c r="S215" i="1"/>
  <c r="U216" i="1"/>
  <c r="V216" i="1" s="1"/>
  <c r="S216" i="1"/>
  <c r="R216" i="1"/>
  <c r="T216" i="1" s="1"/>
  <c r="U217" i="1"/>
  <c r="V217" i="1" s="1"/>
  <c r="S217" i="1"/>
  <c r="R217" i="1"/>
  <c r="T217" i="1" s="1"/>
  <c r="U218" i="1"/>
  <c r="V218" i="1" s="1"/>
  <c r="R218" i="1"/>
  <c r="T218" i="1" s="1"/>
  <c r="S218" i="1"/>
  <c r="U219" i="1"/>
  <c r="V219" i="1" s="1"/>
  <c r="S219" i="1"/>
  <c r="R219" i="1"/>
  <c r="T219" i="1" s="1"/>
  <c r="U220" i="1"/>
  <c r="V220" i="1" s="1"/>
  <c r="R220" i="1"/>
  <c r="T220" i="1" s="1"/>
  <c r="S220" i="1"/>
  <c r="U221" i="1"/>
  <c r="V221" i="1" s="1"/>
  <c r="R221" i="1"/>
  <c r="T221" i="1" s="1"/>
  <c r="S221" i="1"/>
  <c r="U257" i="1"/>
  <c r="V257" i="1" s="1"/>
  <c r="S257" i="1"/>
  <c r="R257" i="1"/>
  <c r="T257" i="1" s="1"/>
  <c r="U258" i="1"/>
  <c r="V258" i="1" s="1"/>
  <c r="S258" i="1"/>
  <c r="R258" i="1"/>
  <c r="T258" i="1" s="1"/>
  <c r="U259" i="1"/>
  <c r="V259" i="1" s="1"/>
  <c r="S259" i="1"/>
  <c r="R259" i="1"/>
  <c r="T259" i="1" s="1"/>
  <c r="U260" i="1"/>
  <c r="V260" i="1" s="1"/>
  <c r="S260" i="1"/>
  <c r="R260" i="1"/>
  <c r="T260" i="1" s="1"/>
  <c r="U261" i="1"/>
  <c r="V261" i="1" s="1"/>
  <c r="S261" i="1"/>
  <c r="R261" i="1"/>
  <c r="T261" i="1" s="1"/>
  <c r="U262" i="1"/>
  <c r="V262" i="1" s="1"/>
  <c r="S262" i="1"/>
  <c r="R262" i="1"/>
  <c r="T262" i="1" s="1"/>
  <c r="U263" i="1"/>
  <c r="V263" i="1" s="1"/>
  <c r="S263" i="1"/>
  <c r="R263" i="1"/>
  <c r="T263" i="1" s="1"/>
  <c r="U264" i="1"/>
  <c r="V264" i="1" s="1"/>
  <c r="R264" i="1"/>
  <c r="T264" i="1" s="1"/>
  <c r="S264" i="1"/>
  <c r="U685" i="1"/>
  <c r="V685" i="1" s="1"/>
  <c r="R685" i="1"/>
  <c r="T685" i="1" s="1"/>
  <c r="S685" i="1"/>
  <c r="U686" i="1"/>
  <c r="V686" i="1" s="1"/>
  <c r="R686" i="1"/>
  <c r="T686" i="1" s="1"/>
  <c r="S686" i="1"/>
  <c r="U687" i="1"/>
  <c r="V687" i="1" s="1"/>
  <c r="R687" i="1"/>
  <c r="T687" i="1" s="1"/>
  <c r="S687" i="1"/>
  <c r="U688" i="1"/>
  <c r="V688" i="1" s="1"/>
  <c r="S688" i="1"/>
  <c r="R688" i="1"/>
  <c r="T688" i="1" s="1"/>
  <c r="U689" i="1"/>
  <c r="V689" i="1" s="1"/>
  <c r="S689" i="1"/>
  <c r="R689" i="1"/>
  <c r="T689" i="1" s="1"/>
  <c r="U690" i="1"/>
  <c r="V690" i="1" s="1"/>
  <c r="S690" i="1"/>
  <c r="R690" i="1"/>
  <c r="T690" i="1" s="1"/>
  <c r="U691" i="1"/>
  <c r="V691" i="1" s="1"/>
  <c r="S691" i="1"/>
  <c r="R691" i="1"/>
  <c r="T691" i="1" s="1"/>
  <c r="U692" i="1"/>
  <c r="V692" i="1" s="1"/>
  <c r="R692" i="1"/>
  <c r="T692" i="1" s="1"/>
  <c r="S692" i="1"/>
  <c r="U693" i="1"/>
  <c r="V693" i="1" s="1"/>
  <c r="S693" i="1"/>
  <c r="R693" i="1"/>
  <c r="T693" i="1" s="1"/>
  <c r="U694" i="1"/>
  <c r="V694" i="1" s="1"/>
  <c r="S694" i="1"/>
  <c r="R694" i="1"/>
  <c r="T694" i="1" s="1"/>
  <c r="U695" i="1"/>
  <c r="V695" i="1" s="1"/>
  <c r="R695" i="1"/>
  <c r="T695" i="1" s="1"/>
  <c r="S695" i="1"/>
  <c r="U709" i="1"/>
  <c r="V709" i="1" s="1"/>
  <c r="R709" i="1"/>
  <c r="T709" i="1" s="1"/>
  <c r="S709" i="1"/>
  <c r="U710" i="1"/>
  <c r="V710" i="1" s="1"/>
  <c r="R710" i="1"/>
  <c r="T710" i="1" s="1"/>
  <c r="S710" i="1"/>
  <c r="U711" i="1"/>
  <c r="V711" i="1" s="1"/>
  <c r="R711" i="1"/>
  <c r="T711" i="1" s="1"/>
  <c r="S711" i="1"/>
  <c r="U712" i="1"/>
  <c r="V712" i="1" s="1"/>
  <c r="R712" i="1"/>
  <c r="T712" i="1" s="1"/>
  <c r="S712" i="1"/>
  <c r="U713" i="1"/>
  <c r="V713" i="1" s="1"/>
  <c r="R713" i="1"/>
  <c r="T713" i="1" s="1"/>
  <c r="S713" i="1"/>
  <c r="U714" i="1"/>
  <c r="V714" i="1" s="1"/>
  <c r="R714" i="1"/>
  <c r="T714" i="1" s="1"/>
  <c r="S714" i="1"/>
  <c r="U715" i="1"/>
  <c r="V715" i="1" s="1"/>
  <c r="R715" i="1"/>
  <c r="T715" i="1" s="1"/>
  <c r="S715" i="1"/>
  <c r="U716" i="1"/>
  <c r="V716" i="1" s="1"/>
  <c r="R716" i="1"/>
  <c r="T716" i="1" s="1"/>
  <c r="S716" i="1"/>
  <c r="U717" i="1"/>
  <c r="V717" i="1" s="1"/>
  <c r="R717" i="1"/>
  <c r="T717" i="1" s="1"/>
  <c r="S717" i="1"/>
  <c r="U718" i="1"/>
  <c r="V718" i="1" s="1"/>
  <c r="S718" i="1"/>
  <c r="R718" i="1"/>
  <c r="T718" i="1" s="1"/>
  <c r="U719" i="1"/>
  <c r="V719" i="1" s="1"/>
  <c r="S719" i="1"/>
  <c r="R719" i="1"/>
  <c r="T719" i="1" s="1"/>
  <c r="U720" i="1"/>
  <c r="V720" i="1" s="1"/>
  <c r="S720" i="1"/>
  <c r="R720" i="1"/>
  <c r="T720" i="1" s="1"/>
  <c r="U721" i="1"/>
  <c r="V721" i="1" s="1"/>
  <c r="R721" i="1"/>
  <c r="T721" i="1" s="1"/>
  <c r="S721" i="1"/>
  <c r="U722" i="1"/>
  <c r="V722" i="1" s="1"/>
  <c r="S722" i="1"/>
  <c r="R722" i="1"/>
  <c r="T722" i="1" s="1"/>
  <c r="U589" i="1"/>
  <c r="V589" i="1" s="1"/>
  <c r="S589" i="1"/>
  <c r="R589" i="1"/>
  <c r="T589" i="1" s="1"/>
  <c r="U590" i="1"/>
  <c r="V590" i="1" s="1"/>
  <c r="R590" i="1"/>
  <c r="T590" i="1" s="1"/>
  <c r="S590" i="1"/>
  <c r="U680" i="1"/>
  <c r="V680" i="1" s="1"/>
  <c r="R680" i="1"/>
  <c r="T680" i="1" s="1"/>
  <c r="S680" i="1"/>
  <c r="U681" i="1"/>
  <c r="V681" i="1" s="1"/>
  <c r="S681" i="1"/>
  <c r="R681" i="1"/>
  <c r="T681" i="1" s="1"/>
  <c r="U682" i="1"/>
  <c r="V682" i="1" s="1"/>
  <c r="S682" i="1"/>
  <c r="R682" i="1"/>
  <c r="T682" i="1" s="1"/>
  <c r="U683" i="1"/>
  <c r="V683" i="1" s="1"/>
  <c r="R683" i="1"/>
  <c r="T683" i="1" s="1"/>
  <c r="S683" i="1"/>
  <c r="S2" i="1"/>
  <c r="U2" i="1"/>
  <c r="V2" i="1" s="1"/>
  <c r="U200" i="1"/>
  <c r="V200" i="1" s="1"/>
  <c r="R200" i="1"/>
  <c r="T200" i="1" s="1"/>
  <c r="S200" i="1"/>
  <c r="U201" i="1"/>
  <c r="V201" i="1" s="1"/>
  <c r="R201" i="1"/>
  <c r="T201" i="1" s="1"/>
  <c r="S201" i="1"/>
  <c r="U328" i="1"/>
  <c r="V328" i="1" s="1"/>
  <c r="S328" i="1"/>
  <c r="R328" i="1"/>
  <c r="T328" i="1" s="1"/>
  <c r="U329" i="1"/>
  <c r="V329" i="1" s="1"/>
  <c r="S329" i="1"/>
  <c r="R329" i="1"/>
  <c r="T329" i="1" s="1"/>
  <c r="U330" i="1"/>
  <c r="V330" i="1" s="1"/>
  <c r="S330" i="1"/>
  <c r="R330" i="1"/>
  <c r="T330" i="1" s="1"/>
  <c r="U331" i="1"/>
  <c r="V331" i="1" s="1"/>
  <c r="S331" i="1"/>
  <c r="R331" i="1"/>
  <c r="T331" i="1" s="1"/>
  <c r="U372" i="1"/>
  <c r="V372" i="1" s="1"/>
  <c r="R372" i="1"/>
  <c r="T372" i="1" s="1"/>
  <c r="S372" i="1"/>
  <c r="U373" i="1"/>
  <c r="V373" i="1" s="1"/>
  <c r="S373" i="1"/>
  <c r="R373" i="1"/>
  <c r="T373" i="1" s="1"/>
  <c r="U374" i="1"/>
  <c r="V374" i="1" s="1"/>
  <c r="R374" i="1"/>
  <c r="T374" i="1" s="1"/>
  <c r="S374" i="1"/>
  <c r="U375" i="1"/>
  <c r="V375" i="1" s="1"/>
  <c r="R375" i="1"/>
  <c r="T375" i="1" s="1"/>
  <c r="S375" i="1"/>
  <c r="U376" i="1"/>
  <c r="V376" i="1" s="1"/>
  <c r="R376" i="1"/>
  <c r="T376" i="1" s="1"/>
  <c r="S376" i="1"/>
  <c r="U377" i="1"/>
  <c r="V377" i="1" s="1"/>
  <c r="S377" i="1"/>
  <c r="R377" i="1"/>
  <c r="T377" i="1" s="1"/>
  <c r="U378" i="1"/>
  <c r="V378" i="1" s="1"/>
  <c r="S378" i="1"/>
  <c r="R378" i="1"/>
  <c r="T378" i="1" s="1"/>
  <c r="U379" i="1"/>
  <c r="V379" i="1" s="1"/>
  <c r="S379" i="1"/>
  <c r="R379" i="1"/>
  <c r="T379" i="1" s="1"/>
  <c r="U380" i="1"/>
  <c r="V380" i="1" s="1"/>
  <c r="S380" i="1"/>
  <c r="R380" i="1"/>
  <c r="T380" i="1" s="1"/>
  <c r="U381" i="1"/>
  <c r="V381" i="1" s="1"/>
  <c r="S381" i="1"/>
  <c r="R381" i="1"/>
  <c r="T381" i="1" s="1"/>
  <c r="U382" i="1"/>
  <c r="V382" i="1" s="1"/>
  <c r="S382" i="1"/>
  <c r="R382" i="1"/>
  <c r="T382" i="1" s="1"/>
  <c r="U383" i="1"/>
  <c r="V383" i="1" s="1"/>
  <c r="S383" i="1"/>
  <c r="R383" i="1"/>
  <c r="T383" i="1" s="1"/>
  <c r="U384" i="1"/>
  <c r="V384" i="1" s="1"/>
  <c r="S384" i="1"/>
  <c r="R384" i="1"/>
  <c r="T384" i="1" s="1"/>
  <c r="U462" i="1"/>
  <c r="V462" i="1" s="1"/>
  <c r="R462" i="1"/>
  <c r="T462" i="1" s="1"/>
  <c r="S462" i="1"/>
  <c r="U463" i="1"/>
  <c r="V463" i="1" s="1"/>
  <c r="R463" i="1"/>
  <c r="T463" i="1" s="1"/>
  <c r="S463" i="1"/>
  <c r="U464" i="1"/>
  <c r="V464" i="1" s="1"/>
  <c r="S464" i="1"/>
  <c r="R464" i="1"/>
  <c r="T464" i="1" s="1"/>
  <c r="U465" i="1"/>
  <c r="V465" i="1" s="1"/>
  <c r="R465" i="1"/>
  <c r="T465" i="1" s="1"/>
  <c r="S465" i="1"/>
  <c r="U466" i="1"/>
  <c r="V466" i="1" s="1"/>
  <c r="S466" i="1"/>
  <c r="R466" i="1"/>
  <c r="T466" i="1" s="1"/>
  <c r="U467" i="1"/>
  <c r="V467" i="1" s="1"/>
  <c r="S467" i="1"/>
  <c r="R467" i="1"/>
  <c r="T467" i="1" s="1"/>
  <c r="U468" i="1"/>
  <c r="V468" i="1" s="1"/>
  <c r="S468" i="1"/>
  <c r="R468" i="1"/>
  <c r="T468" i="1" s="1"/>
  <c r="U469" i="1"/>
  <c r="V469" i="1" s="1"/>
  <c r="R469" i="1"/>
  <c r="T469" i="1" s="1"/>
  <c r="S469" i="1"/>
  <c r="U470" i="1"/>
  <c r="V470" i="1" s="1"/>
  <c r="R470" i="1"/>
  <c r="T470" i="1" s="1"/>
  <c r="S470" i="1"/>
  <c r="U471" i="1"/>
  <c r="V471" i="1" s="1"/>
  <c r="S471" i="1"/>
  <c r="R471" i="1"/>
  <c r="T471" i="1" s="1"/>
  <c r="U472" i="1"/>
  <c r="V472" i="1" s="1"/>
  <c r="R472" i="1"/>
  <c r="T472" i="1" s="1"/>
  <c r="S472" i="1"/>
  <c r="U473" i="1"/>
  <c r="V473" i="1" s="1"/>
  <c r="S473" i="1"/>
  <c r="R473" i="1"/>
  <c r="T473" i="1" s="1"/>
  <c r="U482" i="1"/>
  <c r="V482" i="1" s="1"/>
  <c r="S482" i="1"/>
  <c r="R482" i="1"/>
  <c r="T482" i="1" s="1"/>
  <c r="U684" i="1"/>
  <c r="V684" i="1" s="1"/>
  <c r="R684" i="1"/>
  <c r="T684" i="1" s="1"/>
  <c r="S684" i="1"/>
  <c r="U315" i="1"/>
  <c r="V315" i="1" s="1"/>
  <c r="R315" i="1"/>
  <c r="T315" i="1" s="1"/>
  <c r="S315" i="1"/>
  <c r="U316" i="1"/>
  <c r="V316" i="1" s="1"/>
  <c r="R316" i="1"/>
  <c r="T316" i="1" s="1"/>
  <c r="S316" i="1"/>
  <c r="U317" i="1"/>
  <c r="V317" i="1" s="1"/>
  <c r="R317" i="1"/>
  <c r="T317" i="1" s="1"/>
  <c r="S317" i="1"/>
  <c r="U318" i="1"/>
  <c r="V318" i="1" s="1"/>
  <c r="R318" i="1"/>
  <c r="T318" i="1" s="1"/>
  <c r="S318" i="1"/>
  <c r="U319" i="1"/>
  <c r="V319" i="1" s="1"/>
  <c r="R319" i="1"/>
  <c r="T319" i="1" s="1"/>
  <c r="S319" i="1"/>
  <c r="U320" i="1"/>
  <c r="V320" i="1" s="1"/>
  <c r="R320" i="1"/>
  <c r="T320" i="1" s="1"/>
  <c r="S320" i="1"/>
  <c r="U321" i="1"/>
  <c r="V321" i="1" s="1"/>
  <c r="R321" i="1"/>
  <c r="T321" i="1" s="1"/>
  <c r="S321" i="1"/>
  <c r="U322" i="1"/>
  <c r="V322" i="1" s="1"/>
  <c r="R322" i="1"/>
  <c r="T322" i="1" s="1"/>
  <c r="S322" i="1"/>
  <c r="U323" i="1"/>
  <c r="V323" i="1" s="1"/>
  <c r="R323" i="1"/>
  <c r="T323" i="1" s="1"/>
  <c r="S323" i="1"/>
  <c r="U324" i="1"/>
  <c r="V324" i="1" s="1"/>
  <c r="R324" i="1"/>
  <c r="T324" i="1" s="1"/>
  <c r="S324" i="1"/>
  <c r="U325" i="1"/>
  <c r="V325" i="1" s="1"/>
  <c r="R325" i="1"/>
  <c r="T325" i="1" s="1"/>
  <c r="S325" i="1"/>
  <c r="U326" i="1"/>
  <c r="V326" i="1" s="1"/>
  <c r="R326" i="1"/>
  <c r="T326" i="1" s="1"/>
  <c r="S326" i="1"/>
  <c r="U327" i="1"/>
  <c r="V327" i="1" s="1"/>
  <c r="S327" i="1"/>
  <c r="R327" i="1"/>
  <c r="T327" i="1" s="1"/>
  <c r="U457" i="1"/>
  <c r="V457" i="1" s="1"/>
  <c r="R457" i="1"/>
  <c r="T457" i="1" s="1"/>
  <c r="S457" i="1"/>
  <c r="U458" i="1"/>
  <c r="V458" i="1" s="1"/>
  <c r="R458" i="1"/>
  <c r="T458" i="1" s="1"/>
  <c r="S458" i="1"/>
  <c r="U459" i="1"/>
  <c r="V459" i="1" s="1"/>
  <c r="R459" i="1"/>
  <c r="T459" i="1" s="1"/>
  <c r="S459" i="1"/>
  <c r="U460" i="1"/>
  <c r="V460" i="1" s="1"/>
  <c r="R460" i="1"/>
  <c r="T460" i="1" s="1"/>
  <c r="S460" i="1"/>
  <c r="U461" i="1"/>
  <c r="V461" i="1" s="1"/>
  <c r="R461" i="1"/>
  <c r="T461" i="1" s="1"/>
  <c r="S461" i="1"/>
  <c r="U474" i="1"/>
  <c r="V474" i="1" s="1"/>
  <c r="R474" i="1"/>
  <c r="T474" i="1" s="1"/>
  <c r="S474" i="1"/>
  <c r="U475" i="1"/>
  <c r="V475" i="1" s="1"/>
  <c r="R475" i="1"/>
  <c r="T475" i="1" s="1"/>
  <c r="S475" i="1"/>
  <c r="U476" i="1"/>
  <c r="V476" i="1" s="1"/>
  <c r="R476" i="1"/>
  <c r="T476" i="1" s="1"/>
  <c r="S476" i="1"/>
  <c r="U477" i="1"/>
  <c r="V477" i="1" s="1"/>
  <c r="R477" i="1"/>
  <c r="T477" i="1" s="1"/>
  <c r="S477" i="1"/>
  <c r="U478" i="1"/>
  <c r="V478" i="1" s="1"/>
  <c r="R478" i="1"/>
  <c r="T478" i="1" s="1"/>
  <c r="S478" i="1"/>
  <c r="U479" i="1"/>
  <c r="V479" i="1" s="1"/>
  <c r="R479" i="1"/>
  <c r="T479" i="1" s="1"/>
  <c r="S479" i="1"/>
  <c r="U480" i="1"/>
  <c r="V480" i="1" s="1"/>
  <c r="R480" i="1"/>
  <c r="T480" i="1" s="1"/>
  <c r="S480" i="1"/>
  <c r="U481" i="1"/>
  <c r="V481" i="1" s="1"/>
  <c r="R481" i="1"/>
  <c r="T481" i="1" s="1"/>
  <c r="S481" i="1"/>
  <c r="U483" i="1"/>
  <c r="V483" i="1" s="1"/>
  <c r="S483" i="1"/>
  <c r="R483" i="1"/>
  <c r="T483" i="1" s="1"/>
  <c r="U484" i="1"/>
  <c r="V484" i="1" s="1"/>
  <c r="R484" i="1"/>
  <c r="T484" i="1" s="1"/>
  <c r="S484" i="1"/>
  <c r="U485" i="1"/>
  <c r="V485" i="1" s="1"/>
  <c r="R485" i="1"/>
  <c r="T485" i="1" s="1"/>
  <c r="S485" i="1"/>
  <c r="U486" i="1"/>
  <c r="V486" i="1" s="1"/>
  <c r="R486" i="1"/>
  <c r="T486" i="1" s="1"/>
  <c r="S486" i="1"/>
  <c r="U487" i="1"/>
  <c r="V487" i="1" s="1"/>
  <c r="S487" i="1"/>
  <c r="R487" i="1"/>
  <c r="T487" i="1" s="1"/>
  <c r="U488" i="1"/>
  <c r="V488" i="1" s="1"/>
  <c r="R488" i="1"/>
  <c r="T488" i="1" s="1"/>
  <c r="S488" i="1"/>
  <c r="U489" i="1"/>
  <c r="V489" i="1" s="1"/>
  <c r="R489" i="1"/>
  <c r="T489" i="1" s="1"/>
  <c r="S489" i="1"/>
  <c r="U490" i="1"/>
  <c r="V490" i="1" s="1"/>
  <c r="R490" i="1"/>
  <c r="T490" i="1" s="1"/>
  <c r="S490" i="1"/>
  <c r="U491" i="1"/>
  <c r="V491" i="1" s="1"/>
  <c r="R491" i="1"/>
  <c r="T491" i="1" s="1"/>
  <c r="S491" i="1"/>
  <c r="U492" i="1"/>
  <c r="V492" i="1" s="1"/>
  <c r="R492" i="1"/>
  <c r="T492" i="1" s="1"/>
  <c r="S492" i="1"/>
  <c r="U493" i="1"/>
  <c r="V493" i="1" s="1"/>
  <c r="R493" i="1"/>
  <c r="T493" i="1" s="1"/>
  <c r="S493" i="1"/>
  <c r="U494" i="1"/>
  <c r="V494" i="1" s="1"/>
  <c r="R494" i="1"/>
  <c r="T494" i="1" s="1"/>
  <c r="S494" i="1"/>
  <c r="U495" i="1"/>
  <c r="V495" i="1" s="1"/>
  <c r="R495" i="1"/>
  <c r="T495" i="1" s="1"/>
  <c r="S495" i="1"/>
  <c r="U496" i="1"/>
  <c r="V496" i="1" s="1"/>
  <c r="R496" i="1"/>
  <c r="T496" i="1" s="1"/>
  <c r="S496" i="1"/>
  <c r="U497" i="1"/>
  <c r="V497" i="1" s="1"/>
  <c r="R497" i="1"/>
  <c r="T497" i="1" s="1"/>
  <c r="S497" i="1"/>
  <c r="U498" i="1"/>
  <c r="V498" i="1" s="1"/>
  <c r="S498" i="1"/>
  <c r="R498" i="1"/>
  <c r="T498" i="1" s="1"/>
  <c r="U499" i="1"/>
  <c r="V499" i="1" s="1"/>
  <c r="R499" i="1"/>
  <c r="T499" i="1" s="1"/>
  <c r="S499" i="1"/>
  <c r="U500" i="1"/>
  <c r="V500" i="1" s="1"/>
  <c r="R500" i="1"/>
  <c r="T500" i="1" s="1"/>
  <c r="S500" i="1"/>
  <c r="U697" i="1"/>
  <c r="V697" i="1" s="1"/>
  <c r="R697" i="1"/>
  <c r="T697" i="1" s="1"/>
  <c r="S697" i="1"/>
  <c r="U698" i="1"/>
  <c r="V698" i="1" s="1"/>
  <c r="R698" i="1"/>
  <c r="T698" i="1" s="1"/>
  <c r="S698" i="1"/>
  <c r="U699" i="1"/>
  <c r="V699" i="1" s="1"/>
  <c r="R699" i="1"/>
  <c r="T699" i="1" s="1"/>
  <c r="S699" i="1"/>
  <c r="U700" i="1"/>
  <c r="V700" i="1" s="1"/>
  <c r="R700" i="1"/>
  <c r="T700" i="1" s="1"/>
  <c r="S700" i="1"/>
  <c r="U702" i="1"/>
  <c r="V702" i="1" s="1"/>
  <c r="R702" i="1"/>
  <c r="T702" i="1" s="1"/>
  <c r="S702" i="1"/>
  <c r="U703" i="1"/>
  <c r="V703" i="1" s="1"/>
  <c r="R703" i="1"/>
  <c r="T703" i="1" s="1"/>
  <c r="S703" i="1"/>
  <c r="U704" i="1"/>
  <c r="V704" i="1" s="1"/>
  <c r="R704" i="1"/>
  <c r="T704" i="1" s="1"/>
  <c r="S704" i="1"/>
  <c r="U705" i="1"/>
  <c r="V705" i="1" s="1"/>
  <c r="R705" i="1"/>
  <c r="T705" i="1" s="1"/>
  <c r="S705" i="1"/>
  <c r="U706" i="1"/>
  <c r="V706" i="1" s="1"/>
  <c r="R706" i="1"/>
  <c r="T706" i="1" s="1"/>
  <c r="S706" i="1"/>
  <c r="U707" i="1"/>
  <c r="V707" i="1" s="1"/>
  <c r="R707" i="1"/>
  <c r="T707" i="1" s="1"/>
  <c r="S707" i="1"/>
  <c r="U708" i="1"/>
  <c r="V708" i="1" s="1"/>
  <c r="R708" i="1"/>
  <c r="T708" i="1" s="1"/>
  <c r="S708" i="1"/>
  <c r="U723" i="1"/>
  <c r="V723" i="1" s="1"/>
  <c r="S723" i="1"/>
  <c r="U724" i="1"/>
  <c r="V724" i="1" s="1"/>
  <c r="R724" i="1"/>
  <c r="T724" i="1" s="1"/>
  <c r="S724" i="1"/>
  <c r="U5" i="1"/>
  <c r="V5" i="1" s="1"/>
  <c r="R5" i="1"/>
  <c r="T5" i="1" s="1"/>
  <c r="S5" i="1"/>
  <c r="U6" i="1"/>
  <c r="V6" i="1" s="1"/>
  <c r="R6" i="1"/>
  <c r="T6" i="1" s="1"/>
  <c r="S6" i="1"/>
  <c r="U105" i="1"/>
  <c r="V105" i="1" s="1"/>
  <c r="R105" i="1"/>
  <c r="T105" i="1" s="1"/>
  <c r="S105" i="1"/>
  <c r="U107" i="1"/>
  <c r="V107" i="1" s="1"/>
  <c r="R107" i="1"/>
  <c r="T107" i="1" s="1"/>
  <c r="S107" i="1"/>
  <c r="U110" i="1"/>
  <c r="V110" i="1" s="1"/>
  <c r="R110" i="1"/>
  <c r="T110" i="1" s="1"/>
  <c r="S110" i="1"/>
  <c r="U111" i="1"/>
  <c r="V111" i="1" s="1"/>
  <c r="R111" i="1"/>
  <c r="T111" i="1" s="1"/>
  <c r="S111" i="1"/>
  <c r="U114" i="1"/>
  <c r="V114" i="1" s="1"/>
  <c r="R114" i="1"/>
  <c r="T114" i="1" s="1"/>
  <c r="S114" i="1"/>
  <c r="U117" i="1"/>
  <c r="V117" i="1" s="1"/>
  <c r="R117" i="1"/>
  <c r="T117" i="1" s="1"/>
  <c r="S117" i="1"/>
  <c r="U119" i="1"/>
  <c r="V119" i="1" s="1"/>
  <c r="R119" i="1"/>
  <c r="T119" i="1" s="1"/>
  <c r="S119" i="1"/>
  <c r="U122" i="1"/>
  <c r="V122" i="1" s="1"/>
  <c r="R122" i="1"/>
  <c r="T122" i="1" s="1"/>
  <c r="S122" i="1"/>
  <c r="U123" i="1"/>
  <c r="V123" i="1" s="1"/>
  <c r="R123" i="1"/>
  <c r="T123" i="1" s="1"/>
  <c r="S123" i="1"/>
  <c r="U124" i="1"/>
  <c r="V124" i="1" s="1"/>
  <c r="R124" i="1"/>
  <c r="T124" i="1" s="1"/>
  <c r="S124" i="1"/>
  <c r="U127" i="1"/>
  <c r="V127" i="1" s="1"/>
  <c r="R127" i="1"/>
  <c r="T127" i="1" s="1"/>
  <c r="S127" i="1"/>
  <c r="U128" i="1"/>
  <c r="V128" i="1" s="1"/>
  <c r="R128" i="1"/>
  <c r="T128" i="1" s="1"/>
  <c r="S128" i="1"/>
  <c r="U596" i="1"/>
  <c r="V596" i="1" s="1"/>
  <c r="R596" i="1"/>
  <c r="T596" i="1" s="1"/>
  <c r="S596" i="1"/>
  <c r="U104" i="1"/>
  <c r="V104" i="1" s="1"/>
  <c r="R104" i="1"/>
  <c r="T104" i="1" s="1"/>
  <c r="S104" i="1"/>
  <c r="U108" i="1"/>
  <c r="V108" i="1" s="1"/>
  <c r="R108" i="1"/>
  <c r="T108" i="1" s="1"/>
  <c r="S108" i="1"/>
  <c r="U112" i="1"/>
  <c r="V112" i="1" s="1"/>
  <c r="R112" i="1"/>
  <c r="T112" i="1" s="1"/>
  <c r="S112" i="1"/>
  <c r="U115" i="1"/>
  <c r="V115" i="1" s="1"/>
  <c r="R115" i="1"/>
  <c r="T115" i="1" s="1"/>
  <c r="S115" i="1"/>
  <c r="U120" i="1"/>
  <c r="V120" i="1" s="1"/>
  <c r="R120" i="1"/>
  <c r="T120" i="1" s="1"/>
  <c r="S120" i="1"/>
  <c r="U121" i="1"/>
  <c r="V121" i="1" s="1"/>
  <c r="R121" i="1"/>
  <c r="T121" i="1" s="1"/>
  <c r="S121" i="1"/>
  <c r="U113" i="1"/>
  <c r="V113" i="1" s="1"/>
  <c r="R113" i="1"/>
  <c r="T113" i="1" s="1"/>
  <c r="S113" i="1"/>
  <c r="U116" i="1"/>
  <c r="V116" i="1" s="1"/>
  <c r="R116" i="1"/>
  <c r="T116" i="1" s="1"/>
  <c r="S116" i="1"/>
  <c r="U118" i="1"/>
  <c r="V118" i="1" s="1"/>
  <c r="R118" i="1"/>
  <c r="T118" i="1" s="1"/>
  <c r="S118" i="1"/>
  <c r="U129" i="1"/>
  <c r="V129" i="1" s="1"/>
  <c r="S129" i="1"/>
  <c r="U130" i="1"/>
  <c r="V130" i="1" s="1"/>
  <c r="R130" i="1"/>
  <c r="T130" i="1" s="1"/>
  <c r="S130" i="1"/>
  <c r="U131" i="1"/>
  <c r="V131" i="1" s="1"/>
  <c r="R131" i="1"/>
  <c r="T131" i="1" s="1"/>
  <c r="S131" i="1"/>
  <c r="U132" i="1"/>
  <c r="V132" i="1" s="1"/>
  <c r="R132" i="1"/>
  <c r="T132" i="1" s="1"/>
  <c r="S132" i="1"/>
  <c r="U133" i="1"/>
  <c r="V133" i="1" s="1"/>
  <c r="R133" i="1"/>
  <c r="T133" i="1" s="1"/>
  <c r="S133" i="1"/>
  <c r="U134" i="1"/>
  <c r="V134" i="1" s="1"/>
  <c r="R134" i="1"/>
  <c r="T134" i="1" s="1"/>
  <c r="S134" i="1"/>
  <c r="U135" i="1"/>
  <c r="V135" i="1" s="1"/>
  <c r="R135" i="1"/>
  <c r="T135" i="1" s="1"/>
  <c r="S135" i="1"/>
  <c r="U136" i="1"/>
  <c r="V136" i="1" s="1"/>
  <c r="R136" i="1"/>
  <c r="T136" i="1" s="1"/>
  <c r="S136" i="1"/>
  <c r="U137" i="1"/>
  <c r="V137" i="1" s="1"/>
  <c r="R137" i="1"/>
  <c r="T137" i="1" s="1"/>
  <c r="S137" i="1"/>
  <c r="U151" i="1"/>
  <c r="V151" i="1" s="1"/>
  <c r="R151" i="1"/>
  <c r="T151" i="1" s="1"/>
  <c r="S151" i="1"/>
  <c r="U332" i="1"/>
  <c r="V332" i="1" s="1"/>
  <c r="S332" i="1"/>
  <c r="R332" i="1"/>
  <c r="T332" i="1" s="1"/>
  <c r="U106" i="1"/>
  <c r="V106" i="1" s="1"/>
  <c r="R106" i="1"/>
  <c r="T106" i="1" s="1"/>
  <c r="S106" i="1"/>
  <c r="U109" i="1"/>
  <c r="V109" i="1" s="1"/>
  <c r="R109" i="1"/>
  <c r="T109" i="1" s="1"/>
  <c r="S109" i="1"/>
  <c r="U125" i="1"/>
  <c r="V125" i="1" s="1"/>
  <c r="S125" i="1"/>
  <c r="U126" i="1"/>
  <c r="V126" i="1" s="1"/>
  <c r="R126" i="1"/>
  <c r="T126" i="1" s="1"/>
  <c r="U138" i="1"/>
  <c r="V138" i="1" s="1"/>
  <c r="R138" i="1"/>
  <c r="T138" i="1" s="1"/>
  <c r="S138" i="1"/>
  <c r="U139" i="1"/>
  <c r="V139" i="1" s="1"/>
  <c r="R139" i="1"/>
  <c r="T139" i="1" s="1"/>
  <c r="S139" i="1"/>
  <c r="U140" i="1"/>
  <c r="V140" i="1" s="1"/>
  <c r="R140" i="1"/>
  <c r="T140" i="1" s="1"/>
  <c r="S140" i="1"/>
  <c r="U141" i="1"/>
  <c r="V141" i="1" s="1"/>
  <c r="R141" i="1"/>
  <c r="T141" i="1" s="1"/>
  <c r="S141" i="1"/>
  <c r="U142" i="1"/>
  <c r="V142" i="1" s="1"/>
  <c r="R142" i="1"/>
  <c r="T142" i="1" s="1"/>
  <c r="S142" i="1"/>
  <c r="U143" i="1"/>
  <c r="V143" i="1" s="1"/>
  <c r="R143" i="1"/>
  <c r="T143" i="1" s="1"/>
  <c r="S143" i="1"/>
  <c r="U144" i="1"/>
  <c r="V144" i="1" s="1"/>
  <c r="R144" i="1"/>
  <c r="T144" i="1" s="1"/>
  <c r="S144" i="1"/>
  <c r="U145" i="1"/>
  <c r="V145" i="1" s="1"/>
  <c r="R145" i="1"/>
  <c r="T145" i="1" s="1"/>
  <c r="S145" i="1"/>
  <c r="U146" i="1"/>
  <c r="V146" i="1" s="1"/>
  <c r="R146" i="1"/>
  <c r="T146" i="1" s="1"/>
  <c r="S146" i="1"/>
  <c r="U147" i="1"/>
  <c r="V147" i="1" s="1"/>
  <c r="R147" i="1"/>
  <c r="T147" i="1" s="1"/>
  <c r="S147" i="1"/>
  <c r="U148" i="1"/>
  <c r="V148" i="1" s="1"/>
  <c r="R148" i="1"/>
  <c r="T148" i="1" s="1"/>
  <c r="S148" i="1"/>
  <c r="U149" i="1"/>
  <c r="V149" i="1" s="1"/>
  <c r="R149" i="1"/>
  <c r="T149" i="1" s="1"/>
  <c r="S149" i="1"/>
  <c r="U150" i="1"/>
  <c r="V150" i="1" s="1"/>
  <c r="R150" i="1"/>
  <c r="T150" i="1" s="1"/>
  <c r="S150" i="1"/>
  <c r="U385" i="1"/>
  <c r="V385" i="1" s="1"/>
  <c r="R385" i="1"/>
  <c r="T385" i="1" s="1"/>
  <c r="S385" i="1"/>
  <c r="U386" i="1"/>
  <c r="V386" i="1" s="1"/>
  <c r="R386" i="1"/>
  <c r="T386" i="1" s="1"/>
  <c r="S386" i="1"/>
  <c r="U387" i="1"/>
  <c r="V387" i="1" s="1"/>
  <c r="R387" i="1"/>
  <c r="T387" i="1" s="1"/>
  <c r="S387" i="1"/>
  <c r="U388" i="1"/>
  <c r="V388" i="1" s="1"/>
  <c r="R388" i="1"/>
  <c r="T388" i="1" s="1"/>
  <c r="S388" i="1"/>
  <c r="U389" i="1"/>
  <c r="V389" i="1" s="1"/>
  <c r="R389" i="1"/>
  <c r="T389" i="1" s="1"/>
  <c r="S389" i="1"/>
  <c r="U390" i="1"/>
  <c r="V390" i="1" s="1"/>
  <c r="R390" i="1"/>
  <c r="T390" i="1" s="1"/>
  <c r="S390" i="1"/>
  <c r="U174" i="1"/>
  <c r="V174" i="1" s="1"/>
  <c r="S174" i="1"/>
  <c r="R174" i="1"/>
  <c r="T174" i="1" s="1"/>
  <c r="U227" i="1"/>
  <c r="V227" i="1" s="1"/>
  <c r="R227" i="1"/>
  <c r="T227" i="1" s="1"/>
  <c r="S227" i="1"/>
  <c r="U280" i="1"/>
  <c r="V280" i="1" s="1"/>
  <c r="S280" i="1"/>
  <c r="R280" i="1"/>
  <c r="T280" i="1" s="1"/>
  <c r="U391" i="1"/>
  <c r="V391" i="1" s="1"/>
  <c r="S391" i="1"/>
  <c r="R391" i="1"/>
  <c r="T391" i="1" s="1"/>
  <c r="U392" i="1"/>
  <c r="V392" i="1" s="1"/>
  <c r="R392" i="1"/>
  <c r="T392" i="1" s="1"/>
  <c r="S392" i="1"/>
  <c r="U393" i="1"/>
  <c r="V393" i="1" s="1"/>
  <c r="R393" i="1"/>
  <c r="T393" i="1" s="1"/>
  <c r="S393" i="1"/>
  <c r="U394" i="1"/>
  <c r="V394" i="1" s="1"/>
  <c r="S394" i="1"/>
  <c r="R394" i="1"/>
  <c r="T394" i="1" s="1"/>
  <c r="U395" i="1"/>
  <c r="V395" i="1" s="1"/>
  <c r="R395" i="1"/>
  <c r="T395" i="1" s="1"/>
  <c r="S395" i="1"/>
  <c r="U396" i="1"/>
  <c r="V396" i="1" s="1"/>
  <c r="R396" i="1"/>
  <c r="T396" i="1" s="1"/>
  <c r="S396" i="1"/>
  <c r="U397" i="1"/>
  <c r="V397" i="1" s="1"/>
  <c r="R397" i="1"/>
  <c r="T397" i="1" s="1"/>
  <c r="S397" i="1"/>
  <c r="U398" i="1"/>
  <c r="V398" i="1" s="1"/>
  <c r="R398" i="1"/>
  <c r="T398" i="1" s="1"/>
  <c r="S398" i="1"/>
  <c r="U399" i="1"/>
  <c r="V399" i="1" s="1"/>
  <c r="R399" i="1"/>
  <c r="T399" i="1" s="1"/>
  <c r="S399" i="1"/>
  <c r="U400" i="1"/>
  <c r="V400" i="1" s="1"/>
  <c r="S400" i="1"/>
  <c r="R400" i="1"/>
  <c r="T400" i="1" s="1"/>
  <c r="U401" i="1"/>
  <c r="V401" i="1" s="1"/>
  <c r="R401" i="1"/>
  <c r="T401" i="1" s="1"/>
  <c r="S401" i="1"/>
  <c r="U402" i="1"/>
  <c r="V402" i="1" s="1"/>
  <c r="S402" i="1"/>
  <c r="R402" i="1"/>
  <c r="T402" i="1" s="1"/>
  <c r="U403" i="1"/>
  <c r="V403" i="1" s="1"/>
  <c r="R403" i="1"/>
  <c r="T403" i="1" s="1"/>
  <c r="S403" i="1"/>
  <c r="U404" i="1"/>
  <c r="V404" i="1" s="1"/>
  <c r="R404" i="1"/>
  <c r="T404" i="1" s="1"/>
  <c r="S404" i="1"/>
  <c r="U405" i="1"/>
  <c r="V405" i="1" s="1"/>
  <c r="R405" i="1"/>
  <c r="T405" i="1" s="1"/>
  <c r="S405" i="1"/>
  <c r="U406" i="1"/>
  <c r="V406" i="1" s="1"/>
  <c r="R406" i="1"/>
  <c r="T406" i="1" s="1"/>
  <c r="S406" i="1"/>
  <c r="U407" i="1"/>
  <c r="V407" i="1" s="1"/>
  <c r="R407" i="1"/>
  <c r="T407" i="1" s="1"/>
  <c r="S407" i="1"/>
  <c r="U408" i="1"/>
  <c r="V408" i="1" s="1"/>
  <c r="R408" i="1"/>
  <c r="T408" i="1" s="1"/>
  <c r="S408" i="1"/>
  <c r="U409" i="1"/>
  <c r="V409" i="1" s="1"/>
  <c r="R409" i="1"/>
  <c r="T409" i="1" s="1"/>
  <c r="S409" i="1"/>
  <c r="U410" i="1"/>
  <c r="V410" i="1" s="1"/>
  <c r="R410" i="1"/>
  <c r="T410" i="1" s="1"/>
  <c r="S410" i="1"/>
  <c r="U411" i="1"/>
  <c r="V411" i="1" s="1"/>
  <c r="R411" i="1"/>
  <c r="T411" i="1" s="1"/>
  <c r="S411" i="1"/>
  <c r="U412" i="1"/>
  <c r="V412" i="1" s="1"/>
  <c r="R412" i="1"/>
  <c r="T412" i="1" s="1"/>
  <c r="S412" i="1"/>
  <c r="U413" i="1"/>
  <c r="V413" i="1" s="1"/>
  <c r="R413" i="1"/>
  <c r="T413" i="1" s="1"/>
  <c r="S413" i="1"/>
  <c r="U414" i="1"/>
  <c r="V414" i="1" s="1"/>
  <c r="R414" i="1"/>
  <c r="T414" i="1" s="1"/>
  <c r="S414" i="1"/>
  <c r="U415" i="1"/>
  <c r="V415" i="1" s="1"/>
  <c r="R415" i="1"/>
  <c r="T415" i="1" s="1"/>
  <c r="S415" i="1"/>
  <c r="U416" i="1"/>
  <c r="V416" i="1" s="1"/>
  <c r="R416" i="1"/>
  <c r="T416" i="1" s="1"/>
  <c r="S416" i="1"/>
  <c r="U417" i="1"/>
  <c r="V417" i="1" s="1"/>
  <c r="R417" i="1"/>
  <c r="T417" i="1" s="1"/>
  <c r="S417" i="1"/>
  <c r="U418" i="1"/>
  <c r="V418" i="1" s="1"/>
  <c r="R418" i="1"/>
  <c r="T418" i="1" s="1"/>
  <c r="S418" i="1"/>
  <c r="U419" i="1"/>
  <c r="V419" i="1" s="1"/>
  <c r="R419" i="1"/>
  <c r="T419" i="1" s="1"/>
  <c r="S419" i="1"/>
  <c r="U420" i="1"/>
  <c r="V420" i="1" s="1"/>
  <c r="R420" i="1"/>
  <c r="T420" i="1" s="1"/>
  <c r="S420" i="1"/>
  <c r="U421" i="1"/>
  <c r="V421" i="1" s="1"/>
  <c r="R421" i="1"/>
  <c r="T421" i="1" s="1"/>
  <c r="S421" i="1"/>
  <c r="U422" i="1"/>
  <c r="V422" i="1" s="1"/>
  <c r="R422" i="1"/>
  <c r="T422" i="1" s="1"/>
  <c r="S422" i="1"/>
  <c r="U423" i="1"/>
  <c r="V423" i="1" s="1"/>
  <c r="R423" i="1"/>
  <c r="T423" i="1" s="1"/>
  <c r="S423" i="1"/>
  <c r="U424" i="1"/>
  <c r="V424" i="1" s="1"/>
  <c r="R424" i="1"/>
  <c r="T424" i="1" s="1"/>
  <c r="S424" i="1"/>
  <c r="U425" i="1"/>
  <c r="V425" i="1" s="1"/>
  <c r="R425" i="1"/>
  <c r="T425" i="1" s="1"/>
  <c r="S425" i="1"/>
  <c r="U438" i="1"/>
  <c r="V438" i="1" s="1"/>
  <c r="R438" i="1"/>
  <c r="T438" i="1" s="1"/>
  <c r="S438" i="1"/>
  <c r="U701" i="1"/>
  <c r="V701" i="1" s="1"/>
  <c r="R701" i="1"/>
  <c r="T701" i="1" s="1"/>
  <c r="S701" i="1"/>
  <c r="U753" i="1"/>
  <c r="V753" i="1" s="1"/>
  <c r="R753" i="1"/>
  <c r="T753" i="1" s="1"/>
  <c r="S753" i="1"/>
  <c r="U32" i="1"/>
  <c r="V32" i="1" s="1"/>
  <c r="R32" i="1"/>
  <c r="T32" i="1" s="1"/>
  <c r="S32" i="1"/>
  <c r="U36" i="1"/>
  <c r="V36" i="1" s="1"/>
  <c r="R36" i="1"/>
  <c r="T36" i="1" s="1"/>
  <c r="S36" i="1"/>
  <c r="U40" i="1"/>
  <c r="V40" i="1" s="1"/>
  <c r="R40" i="1"/>
  <c r="T40" i="1" s="1"/>
  <c r="S40" i="1"/>
  <c r="U23" i="1"/>
  <c r="V23" i="1" s="1"/>
  <c r="R23" i="1"/>
  <c r="T23" i="1" s="1"/>
  <c r="U37" i="1"/>
  <c r="V37" i="1" s="1"/>
  <c r="R37" i="1"/>
  <c r="T37" i="1" s="1"/>
  <c r="S37" i="1"/>
  <c r="U39" i="1"/>
  <c r="V39" i="1" s="1"/>
  <c r="R39" i="1"/>
  <c r="T39" i="1" s="1"/>
  <c r="S39" i="1"/>
  <c r="U44" i="1"/>
  <c r="V44" i="1" s="1"/>
  <c r="R44" i="1"/>
  <c r="T44" i="1" s="1"/>
  <c r="S44" i="1"/>
  <c r="U48" i="1"/>
  <c r="V48" i="1" s="1"/>
  <c r="S48" i="1"/>
  <c r="R48" i="1"/>
  <c r="T48" i="1" s="1"/>
  <c r="U52" i="1"/>
  <c r="V52" i="1" s="1"/>
  <c r="R52" i="1"/>
  <c r="T52" i="1" s="1"/>
  <c r="S52" i="1"/>
  <c r="U55" i="1"/>
  <c r="V55" i="1" s="1"/>
  <c r="R55" i="1"/>
  <c r="T55" i="1" s="1"/>
  <c r="S55" i="1"/>
  <c r="U59" i="1"/>
  <c r="V59" i="1" s="1"/>
  <c r="S59" i="1"/>
  <c r="R59" i="1"/>
  <c r="T59" i="1" s="1"/>
  <c r="U62" i="1"/>
  <c r="V62" i="1" s="1"/>
  <c r="R62" i="1"/>
  <c r="T62" i="1" s="1"/>
  <c r="S62" i="1"/>
  <c r="U63" i="1"/>
  <c r="V63" i="1" s="1"/>
  <c r="R63" i="1"/>
  <c r="T63" i="1" s="1"/>
  <c r="S63" i="1"/>
  <c r="U64" i="1"/>
  <c r="V64" i="1" s="1"/>
  <c r="S64" i="1"/>
  <c r="R64" i="1"/>
  <c r="T64" i="1" s="1"/>
  <c r="U65" i="1"/>
  <c r="V65" i="1" s="1"/>
  <c r="S65" i="1"/>
  <c r="R65" i="1"/>
  <c r="T65" i="1" s="1"/>
  <c r="U66" i="1"/>
  <c r="V66" i="1" s="1"/>
  <c r="S66" i="1"/>
  <c r="R66" i="1"/>
  <c r="T66" i="1" s="1"/>
  <c r="U67" i="1"/>
  <c r="V67" i="1" s="1"/>
  <c r="S67" i="1"/>
  <c r="R67" i="1"/>
  <c r="T67" i="1" s="1"/>
  <c r="U68" i="1"/>
  <c r="V68" i="1" s="1"/>
  <c r="S68" i="1"/>
  <c r="R68" i="1"/>
  <c r="T68" i="1" s="1"/>
  <c r="U69" i="1"/>
  <c r="V69" i="1" s="1"/>
  <c r="R69" i="1"/>
  <c r="T69" i="1" s="1"/>
  <c r="S69" i="1"/>
  <c r="U70" i="1"/>
  <c r="V70" i="1" s="1"/>
  <c r="R70" i="1"/>
  <c r="T70" i="1" s="1"/>
  <c r="S70" i="1"/>
  <c r="U71" i="1"/>
  <c r="V71" i="1" s="1"/>
  <c r="R71" i="1"/>
  <c r="T71" i="1" s="1"/>
  <c r="S71" i="1"/>
  <c r="U72" i="1"/>
  <c r="V72" i="1" s="1"/>
  <c r="R72" i="1"/>
  <c r="T72" i="1" s="1"/>
  <c r="S72" i="1"/>
  <c r="U73" i="1"/>
  <c r="V73" i="1" s="1"/>
  <c r="S73" i="1"/>
  <c r="R73" i="1"/>
  <c r="T73" i="1" s="1"/>
  <c r="U74" i="1"/>
  <c r="V74" i="1" s="1"/>
  <c r="R74" i="1"/>
  <c r="T74" i="1" s="1"/>
  <c r="S74" i="1"/>
  <c r="U75" i="1"/>
  <c r="V75" i="1" s="1"/>
  <c r="S75" i="1"/>
  <c r="R75" i="1"/>
  <c r="T75" i="1" s="1"/>
  <c r="U76" i="1"/>
  <c r="V76" i="1" s="1"/>
  <c r="S76" i="1"/>
  <c r="R76" i="1"/>
  <c r="T76" i="1" s="1"/>
  <c r="U77" i="1"/>
  <c r="V77" i="1" s="1"/>
  <c r="R77" i="1"/>
  <c r="T77" i="1" s="1"/>
  <c r="S77" i="1"/>
  <c r="U78" i="1"/>
  <c r="V78" i="1" s="1"/>
  <c r="S78" i="1"/>
  <c r="R78" i="1"/>
  <c r="T78" i="1" s="1"/>
  <c r="U79" i="1"/>
  <c r="V79" i="1" s="1"/>
  <c r="R79" i="1"/>
  <c r="T79" i="1" s="1"/>
  <c r="S79" i="1"/>
  <c r="U80" i="1"/>
  <c r="V80" i="1" s="1"/>
  <c r="R80" i="1"/>
  <c r="T80" i="1" s="1"/>
  <c r="S80" i="1"/>
  <c r="U81" i="1"/>
  <c r="V81" i="1" s="1"/>
  <c r="R81" i="1"/>
  <c r="T81" i="1" s="1"/>
  <c r="S81" i="1"/>
  <c r="U82" i="1"/>
  <c r="V82" i="1" s="1"/>
  <c r="S82" i="1"/>
  <c r="R82" i="1"/>
  <c r="T82" i="1" s="1"/>
  <c r="U83" i="1"/>
  <c r="V83" i="1" s="1"/>
  <c r="R83" i="1"/>
  <c r="T83" i="1" s="1"/>
  <c r="S83" i="1"/>
  <c r="U84" i="1"/>
  <c r="V84" i="1" s="1"/>
  <c r="R84" i="1"/>
  <c r="T84" i="1" s="1"/>
  <c r="S84" i="1"/>
  <c r="U85" i="1"/>
  <c r="V85" i="1" s="1"/>
  <c r="R85" i="1"/>
  <c r="T85" i="1" s="1"/>
  <c r="S85" i="1"/>
  <c r="U86" i="1"/>
  <c r="V86" i="1" s="1"/>
  <c r="S86" i="1"/>
  <c r="R86" i="1"/>
  <c r="T86" i="1" s="1"/>
  <c r="U87" i="1"/>
  <c r="V87" i="1" s="1"/>
  <c r="R87" i="1"/>
  <c r="T87" i="1" s="1"/>
  <c r="S87" i="1"/>
  <c r="U88" i="1"/>
  <c r="V88" i="1" s="1"/>
  <c r="S88" i="1"/>
  <c r="R88" i="1"/>
  <c r="T88" i="1" s="1"/>
  <c r="U89" i="1"/>
  <c r="V89" i="1" s="1"/>
  <c r="R89" i="1"/>
  <c r="T89" i="1" s="1"/>
  <c r="S89" i="1"/>
  <c r="U90" i="1"/>
  <c r="V90" i="1" s="1"/>
  <c r="R90" i="1"/>
  <c r="T90" i="1" s="1"/>
  <c r="S90" i="1"/>
  <c r="U91" i="1"/>
  <c r="V91" i="1" s="1"/>
  <c r="S91" i="1"/>
  <c r="R91" i="1"/>
  <c r="T91" i="1" s="1"/>
  <c r="U92" i="1"/>
  <c r="V92" i="1" s="1"/>
  <c r="S92" i="1"/>
  <c r="R92" i="1"/>
  <c r="T92" i="1" s="1"/>
  <c r="U93" i="1"/>
  <c r="V93" i="1" s="1"/>
  <c r="R93" i="1"/>
  <c r="T93" i="1" s="1"/>
  <c r="S93" i="1"/>
  <c r="U94" i="1"/>
  <c r="V94" i="1" s="1"/>
  <c r="R94" i="1"/>
  <c r="T94" i="1" s="1"/>
  <c r="S94" i="1"/>
  <c r="U95" i="1"/>
  <c r="V95" i="1" s="1"/>
  <c r="R95" i="1"/>
  <c r="T95" i="1" s="1"/>
  <c r="S95" i="1"/>
  <c r="U96" i="1"/>
  <c r="V96" i="1" s="1"/>
  <c r="R96" i="1"/>
  <c r="T96" i="1" s="1"/>
  <c r="S96" i="1"/>
  <c r="U97" i="1"/>
  <c r="V97" i="1" s="1"/>
  <c r="S97" i="1"/>
  <c r="R97" i="1"/>
  <c r="T97" i="1" s="1"/>
  <c r="U98" i="1"/>
  <c r="V98" i="1" s="1"/>
  <c r="S98" i="1"/>
  <c r="R98" i="1"/>
  <c r="T98" i="1" s="1"/>
  <c r="U99" i="1"/>
  <c r="V99" i="1" s="1"/>
  <c r="R99" i="1"/>
  <c r="T99" i="1" s="1"/>
  <c r="S99" i="1"/>
  <c r="U100" i="1"/>
  <c r="V100" i="1" s="1"/>
  <c r="R100" i="1"/>
  <c r="T100" i="1" s="1"/>
  <c r="S100" i="1"/>
  <c r="U101" i="1"/>
  <c r="V101" i="1" s="1"/>
  <c r="S101" i="1"/>
  <c r="R101" i="1"/>
  <c r="T101" i="1" s="1"/>
  <c r="U102" i="1"/>
  <c r="V102" i="1" s="1"/>
  <c r="R102" i="1"/>
  <c r="T102" i="1" s="1"/>
  <c r="S102" i="1"/>
  <c r="U103" i="1"/>
  <c r="V103" i="1" s="1"/>
  <c r="S103" i="1"/>
  <c r="R103" i="1"/>
  <c r="T103" i="1" s="1"/>
  <c r="U7" i="1"/>
  <c r="V7" i="1" s="1"/>
  <c r="S7" i="1"/>
  <c r="R7" i="1"/>
  <c r="T7" i="1" s="1"/>
  <c r="U8" i="1"/>
  <c r="V8" i="1" s="1"/>
  <c r="S8" i="1"/>
  <c r="R8" i="1"/>
  <c r="T8" i="1" s="1"/>
  <c r="U9" i="1"/>
  <c r="V9" i="1" s="1"/>
  <c r="S9" i="1"/>
  <c r="R9" i="1"/>
  <c r="T9" i="1" s="1"/>
  <c r="U10" i="1"/>
  <c r="V10" i="1" s="1"/>
  <c r="S10" i="1"/>
  <c r="R10" i="1"/>
  <c r="T10" i="1" s="1"/>
  <c r="U11" i="1"/>
  <c r="V11" i="1" s="1"/>
  <c r="S11" i="1"/>
  <c r="R11" i="1"/>
  <c r="T11" i="1" s="1"/>
  <c r="U12" i="1"/>
  <c r="V12" i="1" s="1"/>
  <c r="S12" i="1"/>
  <c r="R12" i="1"/>
  <c r="T12" i="1" s="1"/>
  <c r="U13" i="1"/>
  <c r="V13" i="1" s="1"/>
  <c r="R13" i="1"/>
  <c r="T13" i="1" s="1"/>
  <c r="S13" i="1"/>
  <c r="U14" i="1"/>
  <c r="V14" i="1" s="1"/>
  <c r="R14" i="1"/>
  <c r="T14" i="1" s="1"/>
  <c r="S14" i="1"/>
  <c r="U17" i="1"/>
  <c r="V17" i="1" s="1"/>
  <c r="R17" i="1"/>
  <c r="T17" i="1" s="1"/>
  <c r="S17" i="1"/>
  <c r="U20" i="1"/>
  <c r="V20" i="1" s="1"/>
  <c r="R20" i="1"/>
  <c r="T20" i="1" s="1"/>
  <c r="S20" i="1"/>
  <c r="U24" i="1"/>
  <c r="V24" i="1" s="1"/>
  <c r="S24" i="1"/>
  <c r="R24" i="1"/>
  <c r="T24" i="1" s="1"/>
  <c r="U25" i="1"/>
  <c r="V25" i="1" s="1"/>
  <c r="S25" i="1"/>
  <c r="R25" i="1"/>
  <c r="T25" i="1" s="1"/>
  <c r="U27" i="1"/>
  <c r="V27" i="1" s="1"/>
  <c r="S27" i="1"/>
  <c r="R27" i="1"/>
  <c r="T27" i="1" s="1"/>
  <c r="U29" i="1"/>
  <c r="V29" i="1" s="1"/>
  <c r="S29" i="1"/>
  <c r="R29" i="1"/>
  <c r="T29" i="1" s="1"/>
  <c r="U31" i="1"/>
  <c r="V31" i="1" s="1"/>
  <c r="S31" i="1"/>
  <c r="R31" i="1"/>
  <c r="T31" i="1" s="1"/>
  <c r="U34" i="1"/>
  <c r="V34" i="1" s="1"/>
  <c r="R34" i="1"/>
  <c r="T34" i="1" s="1"/>
  <c r="S34" i="1"/>
  <c r="U38" i="1"/>
  <c r="V38" i="1" s="1"/>
  <c r="S38" i="1"/>
  <c r="R38" i="1"/>
  <c r="T38" i="1" s="1"/>
  <c r="U41" i="1"/>
  <c r="V41" i="1" s="1"/>
  <c r="S41" i="1"/>
  <c r="R41" i="1"/>
  <c r="T41" i="1" s="1"/>
  <c r="U45" i="1"/>
  <c r="V45" i="1" s="1"/>
  <c r="S45" i="1"/>
  <c r="R45" i="1"/>
  <c r="T45" i="1" s="1"/>
  <c r="U47" i="1"/>
  <c r="V47" i="1" s="1"/>
  <c r="S47" i="1"/>
  <c r="R47" i="1"/>
  <c r="T47" i="1" s="1"/>
  <c r="U51" i="1"/>
  <c r="V51" i="1" s="1"/>
  <c r="R51" i="1"/>
  <c r="T51" i="1" s="1"/>
  <c r="S51" i="1"/>
  <c r="U54" i="1"/>
  <c r="V54" i="1" s="1"/>
  <c r="S54" i="1"/>
  <c r="R54" i="1"/>
  <c r="T54" i="1" s="1"/>
  <c r="U58" i="1"/>
  <c r="V58" i="1" s="1"/>
  <c r="R58" i="1"/>
  <c r="T58" i="1" s="1"/>
  <c r="S58" i="1"/>
  <c r="U61" i="1"/>
  <c r="V61" i="1" s="1"/>
  <c r="R61" i="1"/>
  <c r="T61" i="1" s="1"/>
  <c r="S61" i="1"/>
  <c r="U16" i="1"/>
  <c r="V16" i="1" s="1"/>
  <c r="R16" i="1"/>
  <c r="T16" i="1" s="1"/>
  <c r="S16" i="1"/>
  <c r="U18" i="1"/>
  <c r="V18" i="1" s="1"/>
  <c r="R18" i="1"/>
  <c r="T18" i="1" s="1"/>
  <c r="S18" i="1"/>
  <c r="U19" i="1"/>
  <c r="V19" i="1" s="1"/>
  <c r="R19" i="1"/>
  <c r="T19" i="1" s="1"/>
  <c r="S19" i="1"/>
  <c r="U21" i="1"/>
  <c r="V21" i="1" s="1"/>
  <c r="S21" i="1"/>
  <c r="R21" i="1"/>
  <c r="T21" i="1" s="1"/>
  <c r="U22" i="1"/>
  <c r="V22" i="1" s="1"/>
  <c r="R22" i="1"/>
  <c r="T22" i="1" s="1"/>
  <c r="S22" i="1"/>
  <c r="U26" i="1"/>
  <c r="V26" i="1" s="1"/>
  <c r="R26" i="1"/>
  <c r="T26" i="1" s="1"/>
  <c r="S26" i="1"/>
  <c r="U28" i="1"/>
  <c r="V28" i="1" s="1"/>
  <c r="S28" i="1"/>
  <c r="R28" i="1"/>
  <c r="T28" i="1" s="1"/>
  <c r="U30" i="1"/>
  <c r="V30" i="1" s="1"/>
  <c r="R30" i="1"/>
  <c r="T30" i="1" s="1"/>
  <c r="S30" i="1"/>
  <c r="U33" i="1"/>
  <c r="V33" i="1" s="1"/>
  <c r="S33" i="1"/>
  <c r="R33" i="1"/>
  <c r="T33" i="1" s="1"/>
  <c r="U35" i="1"/>
  <c r="V35" i="1" s="1"/>
  <c r="S35" i="1"/>
  <c r="R35" i="1"/>
  <c r="T35" i="1" s="1"/>
  <c r="U42" i="1"/>
  <c r="V42" i="1" s="1"/>
  <c r="R42" i="1"/>
  <c r="T42" i="1" s="1"/>
  <c r="S42" i="1"/>
  <c r="U43" i="1"/>
  <c r="V43" i="1" s="1"/>
  <c r="R43" i="1"/>
  <c r="T43" i="1" s="1"/>
  <c r="S43" i="1"/>
  <c r="U46" i="1"/>
  <c r="V46" i="1" s="1"/>
  <c r="S46" i="1"/>
  <c r="R46" i="1"/>
  <c r="T46" i="1" s="1"/>
  <c r="U49" i="1"/>
  <c r="V49" i="1" s="1"/>
  <c r="S49" i="1"/>
  <c r="R49" i="1"/>
  <c r="T49" i="1" s="1"/>
  <c r="U50" i="1"/>
  <c r="V50" i="1" s="1"/>
  <c r="R50" i="1"/>
  <c r="T50" i="1" s="1"/>
  <c r="S50" i="1"/>
  <c r="U53" i="1"/>
  <c r="V53" i="1" s="1"/>
  <c r="R53" i="1"/>
  <c r="T53" i="1" s="1"/>
  <c r="S53" i="1"/>
  <c r="U56" i="1"/>
  <c r="V56" i="1" s="1"/>
  <c r="S56" i="1"/>
  <c r="R56" i="1"/>
  <c r="T56" i="1" s="1"/>
  <c r="U57" i="1"/>
  <c r="V57" i="1" s="1"/>
  <c r="R57" i="1"/>
  <c r="T57" i="1" s="1"/>
  <c r="S57" i="1"/>
  <c r="U60" i="1"/>
  <c r="V60" i="1" s="1"/>
  <c r="R60" i="1"/>
  <c r="T60" i="1" s="1"/>
  <c r="S6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2C22C-9CF4-4067-A9FB-0D42BF1D0E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3E21362-CD47-41BE-A7DE-17A861312EB3}" name="WorksheetConnection_Procurement KPI Analysis Datase!$A$1:$U$77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curementKPIAnalysisDataseA1U778"/>
        </x15:connection>
      </ext>
    </extLst>
  </connection>
</connections>
</file>

<file path=xl/sharedStrings.xml><?xml version="1.0" encoding="utf-8"?>
<sst xmlns="http://schemas.openxmlformats.org/spreadsheetml/2006/main" count="3943" uniqueCount="830">
  <si>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</si>
  <si>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</si>
  <si>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</si>
  <si>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</si>
  <si>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</si>
  <si>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</si>
  <si>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</si>
  <si>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</si>
  <si>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</si>
  <si>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</si>
  <si>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</si>
  <si>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</si>
  <si>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</si>
  <si>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</si>
  <si>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</si>
  <si>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</si>
  <si>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</si>
  <si>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</si>
  <si>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</si>
  <si>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</si>
  <si>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</si>
  <si>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</si>
  <si>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</si>
  <si>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</si>
  <si>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</si>
  <si>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</si>
  <si>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</si>
  <si>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</si>
  <si>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</si>
  <si>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</si>
  <si>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</si>
  <si>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</si>
  <si>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</si>
  <si>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</si>
  <si>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</si>
  <si>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</si>
  <si>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</si>
  <si>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</si>
  <si>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</si>
  <si>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</si>
  <si>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</si>
  <si>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</si>
  <si>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</si>
  <si>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</si>
  <si>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</si>
  <si>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</si>
  <si>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</si>
  <si>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</si>
  <si>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</si>
  <si>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</si>
  <si>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</si>
  <si>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</si>
  <si>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</si>
  <si>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</si>
  <si>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</si>
  <si>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</si>
  <si>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</si>
  <si>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</si>
  <si>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</si>
  <si>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</si>
  <si>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</si>
  <si>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</si>
  <si>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</si>
  <si>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</si>
  <si>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</si>
  <si>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</si>
  <si>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</si>
  <si>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</si>
  <si>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</si>
  <si>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</si>
  <si>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</si>
  <si>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</si>
  <si>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</si>
  <si>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</si>
  <si>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</si>
  <si>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</si>
  <si>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</si>
  <si>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</si>
  <si>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</si>
  <si>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</si>
  <si>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</si>
  <si>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</si>
  <si>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</si>
  <si>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</si>
  <si>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</si>
  <si>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</si>
  <si>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</si>
  <si>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</si>
  <si>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</si>
  <si>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</si>
  <si>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</si>
  <si>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</si>
  <si>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</si>
  <si>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</si>
  <si>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</si>
  <si>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</si>
  <si>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</si>
  <si>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</si>
  <si>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</si>
  <si>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</si>
  <si>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</si>
  <si>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</si>
  <si>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</si>
  <si>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</si>
  <si>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</si>
  <si>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</si>
  <si>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</si>
  <si>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</si>
  <si>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</si>
  <si>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</si>
  <si>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</si>
  <si>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</si>
  <si>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</si>
  <si>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</si>
  <si>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</si>
  <si>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</si>
  <si>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</si>
  <si>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</si>
  <si>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</si>
  <si>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</si>
  <si>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</si>
  <si>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</si>
  <si>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</si>
  <si>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</si>
  <si>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</si>
  <si>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</si>
  <si>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</si>
  <si>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</si>
  <si>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</si>
  <si>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</si>
  <si>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</si>
  <si>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</si>
  <si>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</si>
  <si>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</si>
  <si>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</si>
  <si>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</si>
  <si>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</si>
  <si>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</si>
  <si>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</si>
  <si>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</si>
  <si>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</si>
  <si>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</si>
  <si>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</si>
  <si>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</si>
  <si>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</si>
  <si>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</si>
  <si>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</si>
  <si>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</si>
  <si>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</si>
  <si>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</si>
  <si>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</si>
  <si>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</si>
  <si>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</si>
  <si>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</si>
  <si>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</si>
  <si>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</si>
  <si>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</si>
  <si>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</si>
  <si>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</si>
  <si>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</si>
  <si>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</si>
  <si>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</si>
  <si>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</si>
  <si>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</si>
  <si>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</si>
  <si>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</si>
  <si>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</si>
  <si>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</si>
  <si>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</si>
  <si>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</si>
  <si>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</si>
  <si>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</si>
  <si>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</si>
  <si>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</si>
  <si>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</si>
  <si>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</si>
  <si>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</si>
  <si>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</si>
  <si>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</si>
  <si>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</si>
  <si>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</si>
  <si>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</si>
  <si>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</si>
  <si>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</si>
  <si>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</si>
  <si>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</si>
  <si>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</si>
  <si>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</si>
  <si>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</si>
  <si>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</si>
  <si>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</si>
  <si>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</si>
  <si>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</si>
  <si>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</si>
  <si>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</si>
  <si>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</si>
  <si>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</si>
  <si>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</si>
  <si>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</si>
  <si>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</si>
  <si>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</si>
  <si>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</si>
  <si>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</si>
  <si>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</si>
  <si>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</si>
  <si>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</si>
  <si>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</si>
  <si>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</si>
  <si>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</si>
  <si>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</si>
  <si>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</si>
  <si>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</si>
  <si>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</si>
  <si>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</si>
  <si>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</si>
  <si>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</si>
  <si>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</si>
  <si>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</si>
  <si>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</si>
  <si>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</si>
  <si>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</si>
  <si>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</si>
  <si>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</si>
  <si>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</si>
  <si>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</si>
  <si>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</si>
  <si>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</si>
  <si>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</si>
  <si>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</si>
  <si>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</si>
  <si>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</si>
  <si>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</si>
  <si>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</si>
  <si>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</si>
  <si>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</si>
  <si>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</si>
  <si>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</si>
  <si>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</si>
  <si>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</si>
  <si>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</si>
  <si>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</si>
  <si>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</si>
  <si>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</si>
  <si>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</si>
  <si>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</si>
  <si>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</si>
  <si>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</si>
  <si>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</si>
  <si>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</si>
  <si>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</si>
  <si>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</si>
  <si>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</si>
  <si>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</si>
  <si>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</si>
  <si>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</si>
  <si>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</si>
  <si>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</si>
  <si>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</si>
  <si>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</si>
  <si>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</si>
  <si>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</si>
  <si>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</si>
  <si>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</si>
  <si>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</si>
  <si>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</si>
  <si>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</si>
  <si>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</si>
  <si>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</si>
  <si>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</si>
  <si>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</si>
  <si>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</si>
  <si>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</si>
  <si>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</si>
  <si>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</si>
  <si>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</si>
  <si>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</si>
  <si>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</si>
  <si>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</si>
  <si>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</si>
  <si>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</si>
  <si>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</si>
  <si>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</si>
  <si>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</si>
  <si>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</si>
  <si>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</si>
  <si>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</si>
  <si>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</si>
  <si>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</si>
  <si>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</si>
  <si>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</si>
  <si>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</si>
  <si>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</si>
  <si>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</si>
  <si>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</si>
  <si>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</si>
  <si>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</si>
  <si>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</si>
  <si>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</si>
  <si>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</si>
  <si>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</si>
  <si>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</si>
  <si>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</si>
  <si>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</si>
  <si>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</si>
  <si>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</si>
  <si>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</si>
  <si>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</si>
  <si>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</si>
  <si>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</si>
  <si>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</si>
  <si>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</si>
  <si>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</si>
  <si>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</si>
  <si>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</si>
  <si>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</si>
  <si>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</si>
  <si>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</si>
  <si>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</si>
  <si>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</si>
  <si>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</si>
  <si>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</si>
  <si>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</si>
  <si>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</si>
  <si>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</si>
  <si>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</si>
  <si>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</si>
  <si>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</si>
  <si>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</si>
  <si>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</si>
  <si>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</si>
  <si>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</si>
  <si>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</si>
  <si>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</si>
  <si>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</si>
  <si>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</si>
  <si>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</si>
  <si>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</si>
  <si>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</si>
  <si>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</si>
  <si>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</si>
  <si>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</si>
  <si>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</si>
  <si>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</si>
  <si>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</si>
  <si>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</si>
  <si>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</si>
  <si>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</si>
  <si>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</si>
  <si>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</si>
  <si>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</si>
  <si>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</si>
  <si>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</si>
  <si>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</si>
  <si>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</si>
  <si>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</si>
  <si>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</si>
  <si>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</si>
  <si>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</si>
  <si>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</si>
  <si>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</si>
  <si>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</si>
  <si>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</si>
  <si>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</si>
  <si>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</si>
  <si>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</si>
  <si>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</si>
  <si>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</si>
  <si>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</si>
  <si>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</si>
  <si>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</si>
  <si>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</si>
  <si>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</si>
  <si>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</si>
  <si>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</si>
  <si>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</si>
  <si>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</si>
  <si>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</si>
  <si>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</si>
  <si>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</si>
  <si>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</si>
  <si>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</si>
  <si>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</si>
  <si>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</si>
  <si>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</si>
  <si>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</si>
  <si>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</si>
  <si>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</si>
  <si>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</si>
  <si>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</si>
  <si>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</si>
  <si>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</si>
  <si>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</si>
  <si>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</si>
  <si>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</si>
  <si>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</si>
  <si>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</si>
  <si>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</si>
  <si>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</si>
  <si>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</si>
  <si>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</si>
  <si>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</si>
  <si>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</si>
  <si>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</si>
  <si>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</si>
  <si>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</si>
  <si>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</si>
  <si>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</si>
  <si>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</si>
  <si>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</si>
  <si>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</si>
  <si>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</si>
  <si>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</si>
  <si>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</si>
  <si>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</si>
  <si>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</si>
  <si>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</si>
  <si>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</si>
  <si>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</si>
  <si>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</si>
  <si>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</si>
  <si>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</si>
  <si>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</si>
  <si>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</si>
  <si>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</si>
  <si>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</si>
  <si>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</si>
  <si>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</si>
  <si>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</si>
  <si>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</si>
  <si>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</si>
  <si>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</si>
  <si>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</si>
  <si>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</si>
  <si>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</si>
  <si>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</si>
  <si>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</si>
  <si>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</si>
  <si>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</si>
  <si>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</si>
  <si>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</si>
  <si>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</si>
  <si>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</si>
  <si>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</si>
  <si>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</si>
  <si>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</si>
  <si>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</si>
  <si>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</si>
  <si>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</si>
  <si>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</si>
  <si>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</si>
  <si>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</si>
  <si>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</si>
  <si>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</si>
  <si>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</si>
  <si>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</si>
  <si>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</si>
  <si>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</si>
  <si>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</si>
  <si>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</si>
  <si>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</si>
  <si>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</si>
  <si>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</si>
  <si>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</si>
  <si>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</si>
  <si>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</si>
  <si>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</si>
  <si>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</si>
  <si>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</si>
  <si>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</si>
  <si>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</si>
  <si>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</si>
  <si>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</si>
  <si>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</si>
  <si>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</si>
  <si>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</si>
  <si>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</si>
  <si>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</si>
  <si>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</si>
  <si>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</si>
  <si>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</si>
  <si>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</si>
  <si>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</si>
  <si>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</si>
  <si>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</si>
  <si>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</si>
  <si>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</si>
  <si>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</si>
  <si>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</si>
  <si>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</si>
  <si>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</si>
  <si>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</si>
  <si>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</si>
  <si>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</si>
  <si>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</si>
  <si>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</si>
  <si>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</si>
  <si>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</si>
  <si>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</si>
  <si>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</si>
  <si>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</si>
  <si>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</si>
  <si>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</si>
  <si>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</si>
  <si>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</si>
  <si>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</si>
  <si>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</si>
  <si>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</si>
  <si>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</si>
  <si>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</si>
  <si>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</si>
  <si>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</si>
  <si>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</si>
  <si>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</si>
  <si>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</si>
  <si>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</si>
  <si>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</si>
  <si>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</si>
  <si>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</si>
  <si>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</si>
  <si>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</si>
  <si>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</si>
  <si>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</si>
  <si>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</si>
  <si>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</si>
  <si>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</si>
  <si>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</si>
  <si>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</si>
  <si>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</si>
  <si>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</si>
  <si>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</si>
  <si>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</si>
  <si>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</si>
  <si>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</si>
  <si>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</si>
  <si>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</si>
  <si>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</si>
  <si>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</si>
  <si>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</si>
  <si>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</si>
  <si>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</si>
  <si>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</si>
  <si>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</si>
  <si>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</si>
  <si>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</si>
  <si>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</si>
  <si>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</si>
  <si>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</si>
  <si>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</si>
  <si>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</si>
  <si>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</si>
  <si>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</si>
  <si>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</si>
  <si>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</si>
  <si>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</si>
  <si>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</si>
  <si>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</si>
  <si>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</si>
  <si>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</si>
  <si>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</si>
  <si>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</si>
  <si>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</si>
  <si>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</si>
  <si>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</si>
  <si>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</si>
  <si>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</si>
  <si>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</si>
  <si>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</si>
  <si>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</si>
  <si>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</si>
  <si>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</si>
  <si>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</si>
  <si>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</si>
  <si>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</si>
  <si>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</si>
  <si>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</si>
  <si>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</si>
  <si>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</si>
  <si>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</si>
  <si>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</si>
  <si>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</si>
  <si>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</si>
  <si>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</si>
  <si>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</si>
  <si>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</si>
  <si>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</si>
  <si>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</si>
  <si>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</si>
  <si>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</si>
  <si>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</si>
  <si>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</si>
  <si>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</si>
  <si>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</si>
  <si>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</si>
  <si>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</si>
  <si>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</si>
  <si>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</si>
  <si>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</si>
  <si>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</si>
  <si>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</si>
  <si>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</si>
  <si>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</si>
  <si>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</si>
  <si>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</si>
  <si>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</si>
  <si>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</si>
  <si>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</si>
  <si>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</si>
  <si>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</si>
  <si>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</si>
  <si>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</si>
  <si>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</si>
  <si>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</si>
  <si>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</si>
  <si>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</si>
  <si>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</si>
  <si>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</si>
  <si>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</si>
  <si>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</si>
  <si>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</si>
  <si>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</si>
  <si>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</si>
  <si>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</si>
  <si>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</si>
  <si>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</si>
  <si>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</si>
  <si>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</si>
  <si>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</si>
  <si>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</si>
  <si>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</si>
  <si>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</si>
  <si>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</si>
  <si>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</si>
  <si>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</si>
  <si>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</si>
  <si>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</si>
  <si>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</si>
  <si>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</si>
  <si>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</si>
  <si>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</si>
  <si>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</si>
  <si>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</si>
  <si>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</si>
  <si>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</si>
  <si>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</si>
  <si>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</si>
  <si>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</si>
  <si>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</si>
  <si>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</si>
  <si>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</si>
  <si>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</si>
  <si>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</si>
  <si>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</si>
  <si>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</si>
  <si>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</si>
  <si>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</si>
  <si>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</si>
  <si>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</si>
  <si>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</si>
  <si>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</si>
  <si>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</si>
  <si>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</si>
  <si>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</si>
  <si>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</si>
  <si>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</si>
  <si>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</si>
  <si>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</si>
  <si>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</si>
  <si>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</si>
  <si>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</si>
  <si>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</si>
  <si>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</si>
  <si>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</si>
  <si>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</si>
  <si>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</si>
  <si>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</si>
  <si>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</si>
  <si>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</si>
  <si>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</si>
  <si>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</si>
  <si>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</si>
  <si>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</si>
  <si>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</si>
  <si>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</si>
  <si>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</si>
  <si>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</si>
  <si>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</si>
  <si>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</si>
  <si>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</si>
  <si>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</si>
  <si>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</si>
  <si>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</si>
  <si>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</si>
  <si>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</si>
  <si>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</si>
  <si>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</si>
  <si>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</si>
  <si>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</si>
  <si>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</si>
  <si>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</si>
  <si>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</si>
  <si>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</si>
  <si>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</si>
  <si>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</si>
  <si>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</si>
  <si>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</si>
  <si>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</si>
  <si>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</si>
  <si>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</si>
  <si>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</si>
  <si>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</si>
  <si>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</si>
  <si>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</si>
  <si>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</si>
  <si>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</si>
  <si>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</si>
  <si>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</si>
  <si>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</si>
  <si>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</si>
  <si>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</si>
  <si>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</si>
  <si>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</si>
  <si>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</si>
  <si>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</si>
  <si>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</si>
  <si>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</si>
  <si>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</si>
  <si>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</si>
  <si>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</si>
  <si>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</si>
  <si>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</si>
  <si>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</si>
  <si>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</si>
  <si>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</si>
  <si>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</si>
  <si>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</si>
  <si>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</si>
  <si>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</si>
  <si>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</si>
  <si>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</si>
  <si>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</si>
  <si>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</si>
  <si>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</si>
  <si>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</si>
  <si>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</si>
  <si>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</si>
  <si>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</si>
  <si>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</si>
  <si>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</si>
  <si>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</si>
  <si>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</si>
  <si>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</si>
  <si>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</si>
  <si>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</si>
  <si>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</si>
  <si>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</si>
  <si>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</si>
  <si>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</si>
  <si>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</si>
  <si>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</si>
  <si>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</si>
  <si>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</si>
  <si>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</si>
  <si>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</si>
  <si>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</si>
  <si>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</si>
  <si>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</si>
  <si>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</si>
  <si>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</si>
  <si>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</si>
  <si>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</si>
  <si>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</si>
  <si>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</si>
  <si>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</si>
  <si>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</si>
  <si>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</si>
  <si>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</si>
  <si>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</si>
  <si>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</si>
  <si>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</si>
  <si>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</si>
  <si>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</si>
  <si>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</si>
  <si>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</si>
  <si>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</si>
  <si>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</si>
  <si>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</si>
  <si>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</si>
  <si>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</si>
  <si>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</si>
  <si>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</si>
  <si>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</si>
  <si>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</si>
  <si>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</si>
  <si>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</si>
  <si>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</si>
  <si>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</si>
  <si>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</si>
  <si>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</si>
  <si>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</si>
  <si>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</si>
  <si>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</si>
  <si>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</si>
  <si>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</si>
  <si>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</si>
  <si>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Invoice_Date</t>
  </si>
  <si>
    <t>Payment_Terms</t>
  </si>
  <si>
    <t>Term_Days</t>
  </si>
  <si>
    <t>Due_Date</t>
  </si>
  <si>
    <t>Payment_Date</t>
  </si>
  <si>
    <t>Processing_Days</t>
  </si>
  <si>
    <t>Payment_Status</t>
  </si>
  <si>
    <t>Aging_Bucket</t>
  </si>
  <si>
    <t>Days_Late</t>
  </si>
  <si>
    <t>Efficiency_Flag</t>
  </si>
  <si>
    <t>Avg Payment Cycle (Days)</t>
  </si>
  <si>
    <t>Row Labels</t>
  </si>
  <si>
    <t>Late</t>
  </si>
  <si>
    <t>On Time</t>
  </si>
  <si>
    <t>Grand Total</t>
  </si>
  <si>
    <t>Count of PO_ID</t>
  </si>
  <si>
    <t>0-30</t>
  </si>
  <si>
    <t>31-60</t>
  </si>
  <si>
    <t>61-90</t>
  </si>
  <si>
    <t>Sum of Defective_Units</t>
  </si>
  <si>
    <t>Column Labels</t>
  </si>
  <si>
    <t>Total Sum of Defective_Units</t>
  </si>
  <si>
    <t>Good_Quantity</t>
  </si>
  <si>
    <t>Total Sum of Good_Quantity</t>
  </si>
  <si>
    <t>Sum of Good_Quantity</t>
  </si>
  <si>
    <t>Total_Spent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</si>
</sst>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KPI Analysis Dataset 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rgbClr val="FF0000"/>
                </a:solidFill>
                <a:latin typeface="+mn-lt"/>
              </a:rPr>
              <a:t>Payment Behaviour Distribution</a:t>
            </a:r>
            <a:endParaRPr lang="en-US" sz="1600" b="1">
              <a:solidFill>
                <a:srgbClr val="FF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1191408827516705"/>
          <c:y val="3.9871442322988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427171649029291E-2"/>
          <c:y val="0.10065408795835781"/>
          <c:w val="0.22061293534725804"/>
          <c:h val="0.30393309381204536"/>
        </c:manualLayout>
      </c:layout>
      <c:pieChart>
        <c:varyColors val="1"/>
        <c:ser>
          <c:idx val="0"/>
          <c:order val="0"/>
          <c:tx>
            <c:strRef>
              <c:f>Sheet2!$E$4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A3-47C0-A121-6F2F2D22ED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A3-47C0-A121-6F2F2D22E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Sheet2!$D$5:$D$7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Sheet2!$E$5:$E$7</c:f>
              <c:numCache>
                <c:formatCode>0.0%</c:formatCode>
                <c:ptCount val="2"/>
                <c:pt idx="0">
                  <c:v>0.76833976833976836</c:v>
                </c:pt>
                <c:pt idx="1">
                  <c:v>0.23166023166023167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A3-47C0-A121-6F2F2D22ED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0081020110023265"/>
          <c:y val="0.12663547814915213"/>
          <c:w val="0.12196448561216476"/>
          <c:h val="9.7445390560771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KPI Analysis Dataset .xlsx]Sheet2!PivotTable4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Aging Bucket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Sheet2!$I$5:$I$8</c:f>
              <c:strCache>
                <c:ptCount val="3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</c:strCache>
            </c:strRef>
          </c:cat>
          <c:val>
            <c:numRef>
              <c:f>Sheet2!$J$5:$J$8</c:f>
              <c:numCache>
                <c:formatCode>General</c:formatCode>
                <c:ptCount val="3"/>
                <c:pt idx="0">
                  <c:v>262</c:v>
                </c:pt>
                <c:pt idx="1">
                  <c:v>464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D-4C00-A141-41904BB1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4289696"/>
        <c:axId val="474294976"/>
      </c:barChart>
      <c:catAx>
        <c:axId val="4742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94976"/>
        <c:crosses val="autoZero"/>
        <c:auto val="1"/>
        <c:lblAlgn val="ctr"/>
        <c:lblOffset val="100"/>
        <c:noMultiLvlLbl val="0"/>
      </c:catAx>
      <c:valAx>
        <c:axId val="4742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 KPI Analysis Dataset .xlsx]Sheet3!PivotTable2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Sheet3!$B$3:$B$5</c:f>
              <c:strCache>
                <c:ptCount val="1"/>
                <c:pt idx="0">
                  <c:v>Late - Sum of Defective_Units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Sheet3!$B$6:$B$11</c:f>
              <c:numCache>
                <c:formatCode>General</c:formatCode>
                <c:ptCount val="5"/>
                <c:pt idx="0">
                  <c:v>2212</c:v>
                </c:pt>
                <c:pt idx="1">
                  <c:v>10887</c:v>
                </c:pt>
                <c:pt idx="2">
                  <c:v>13796</c:v>
                </c:pt>
                <c:pt idx="3">
                  <c:v>3703</c:v>
                </c:pt>
                <c:pt idx="4">
                  <c:v>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45C7-8101-E63AA3DFF98D}"/>
            </c:ext>
          </c:extLst>
        </c:ser>
        <c:ser>
          <c:idx val="1"/>
          <c:order val="1"/>
          <c:tx>
            <c:strRef>
              <c:f>Sheet3!$C$3:$C$5</c:f>
              <c:strCache>
                <c:ptCount val="1"/>
                <c:pt idx="0">
                  <c:v>Late - Sum of Good_Quantity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Sheet3!$C$6:$C$11</c:f>
              <c:numCache>
                <c:formatCode>General</c:formatCode>
                <c:ptCount val="5"/>
                <c:pt idx="0">
                  <c:v>117166</c:v>
                </c:pt>
                <c:pt idx="1">
                  <c:v>125778</c:v>
                </c:pt>
                <c:pt idx="2">
                  <c:v>115456</c:v>
                </c:pt>
                <c:pt idx="3">
                  <c:v>137250</c:v>
                </c:pt>
                <c:pt idx="4">
                  <c:v>111327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D-45C7-8101-E63AA3DFF98D}"/>
            </c:ext>
          </c:extLst>
        </c:ser>
        <c:ser>
          <c:idx val="2"/>
          <c:order val="2"/>
          <c:tx>
            <c:strRef>
              <c:f>Sheet3!$D$3:$D$5</c:f>
              <c:strCache>
                <c:ptCount val="1"/>
                <c:pt idx="0">
                  <c:v>On Time - Sum of Defective_Units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Sheet3!$D$6:$D$11</c:f>
              <c:numCache>
                <c:formatCode>General</c:formatCode>
                <c:ptCount val="5"/>
                <c:pt idx="0">
                  <c:v>505</c:v>
                </c:pt>
                <c:pt idx="1">
                  <c:v>2951</c:v>
                </c:pt>
                <c:pt idx="2">
                  <c:v>5882</c:v>
                </c:pt>
                <c:pt idx="3">
                  <c:v>979</c:v>
                </c:pt>
                <c:pt idx="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7D-45C7-8101-E63AA3DFF98D}"/>
            </c:ext>
          </c:extLst>
        </c:ser>
        <c:ser>
          <c:idx val="3"/>
          <c:order val="3"/>
          <c:tx>
            <c:strRef>
              <c:f>Sheet3!$E$3:$E$5</c:f>
              <c:strCache>
                <c:ptCount val="1"/>
                <c:pt idx="0">
                  <c:v>On Time - Sum of Good_Quantity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Sheet3!$A$6:$A$11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Sheet3!$E$6:$E$11</c:f>
              <c:numCache>
                <c:formatCode>General</c:formatCode>
                <c:ptCount val="5"/>
                <c:pt idx="0">
                  <c:v>30531</c:v>
                </c:pt>
                <c:pt idx="1">
                  <c:v>40900</c:v>
                </c:pt>
                <c:pt idx="2">
                  <c:v>46518</c:v>
                </c:pt>
                <c:pt idx="3">
                  <c:v>38121</c:v>
                </c:pt>
                <c:pt idx="4">
                  <c:v>39555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7D-45C7-8101-E63AA3DFF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798879"/>
        <c:axId val="972799359"/>
      </c:barChart>
      <c:catAx>
        <c:axId val="9727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99359"/>
        <c:crosses val="autoZero"/>
        <c:auto val="1"/>
        <c:lblAlgn val="ctr"/>
        <c:lblOffset val="100"/>
        <c:noMultiLvlLbl val="0"/>
      </c:catAx>
      <c:valAx>
        <c:axId val="9727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34546187506913"/>
          <c:y val="0.32762071727598352"/>
          <c:w val="0.23274537214640081"/>
          <c:h val="0.3677908927410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7A07AD-1524-40AE-BFF3-442AE49D41CC}">
  <sheetPr/>
  <sheetViews>
    <sheetView zoomScale="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71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6F325-556B-39DB-247E-9E4295EDC3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0.51942</cdr:x>
      <cdr:y>0.00602</cdr:y>
    </cdr:from>
    <cdr:to>
      <cdr:x>0.97891</cdr:x>
      <cdr:y>0.34709</cdr:y>
    </cdr:to>
    <cdr:graphicFrame macro="">
      <cdr:nvGraphicFramePr>
        <cdr:cNvPr id="2" name="Chart 2">
          <a:extLst xmlns:a="http://schemas.openxmlformats.org/drawingml/2006/main">
            <a:ext uri="{FF2B5EF4-FFF2-40B4-BE49-F238E27FC236}">
              <a16:creationId xmlns:a16="http://schemas.microsoft.com/office/drawing/2014/main" id="{E86DC36C-26C8-59C2-B5C3-B95A31C7E9F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0.00999</cdr:x>
      <cdr:y>0.00917</cdr:y>
    </cdr:from>
    <cdr:to>
      <cdr:x>0.47725</cdr:x>
      <cdr:y>0.42049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C4E2B68-5FBD-C996-410D-2556C613C1C5}"/>
            </a:ext>
          </a:extLst>
        </cdr:cNvPr>
        <cdr:cNvSpPr/>
      </cdr:nvSpPr>
      <cdr:spPr>
        <a:xfrm xmlns:a="http://schemas.openxmlformats.org/drawingml/2006/main">
          <a:off x="86591" y="57727"/>
          <a:ext cx="4050530" cy="25881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0.51609</cdr:x>
      <cdr:y>0.00459</cdr:y>
    </cdr:from>
    <cdr:to>
      <cdr:x>0.98002</cdr:x>
      <cdr:y>0.34251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E34543F1-2E21-6F2E-38DD-72B7E40EDC79}"/>
            </a:ext>
          </a:extLst>
        </cdr:cNvPr>
        <cdr:cNvSpPr/>
      </cdr:nvSpPr>
      <cdr:spPr>
        <a:xfrm xmlns:a="http://schemas.openxmlformats.org/drawingml/2006/main">
          <a:off x="4473864" y="28864"/>
          <a:ext cx="4021666" cy="21262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13</xdr:row>
      <xdr:rowOff>76200</xdr:rowOff>
    </xdr:from>
    <xdr:to>
      <xdr:col>5</xdr:col>
      <xdr:colOff>1301750</xdr:colOff>
      <xdr:row>31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D6C4A-C961-BCFE-6BBE-2E629E933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 Singh" refreshedDate="46069.050923958333" createdVersion="8" refreshedVersion="8" minRefreshableVersion="3" recordCount="777" xr:uid="{BEBD4517-AF4A-4DA2-9997-32638C58BB57}">
  <cacheSource type="worksheet">
    <worksheetSource ref="A1:V778" sheet="Procurement KPI Analysis Datase"/>
  </cacheSource>
  <cacheFields count="21">
    <cacheField name="PO_ID" numFmtId="0">
      <sharedItems/>
    </cacheField>
    <cacheField name="Supplier" numFmtId="0">
      <sharedItems count="5">
        <s v="Alpha_Inc"/>
        <s v="Delta_Logistics"/>
        <s v="Gamma_Co"/>
        <s v="Beta_Supplies"/>
        <s v="Epsilon_Group"/>
      </sharedItems>
    </cacheField>
    <cacheField name="Order_Date" numFmtId="14">
      <sharedItems containsSemiMixedTypes="0" containsNonDate="0" containsDate="1" containsString="0" minDate="2022-01-01T00:00:00" maxDate="2024-01-02T00:00:00"/>
    </cacheField>
    <cacheField name="Delivery_Date" numFmtId="0">
      <sharedItems containsNonDate="0" containsDate="1" containsString="0" containsBlank="1" minDate="2022-01-06T00:00:00" maxDate="2024-01-13T00:00:00"/>
    </cacheField>
    <cacheField name="Item_Category" numFmtId="0">
      <sharedItems/>
    </cacheField>
    <cacheField name="Order_Status" numFmtId="0">
      <sharedItems/>
    </cacheField>
    <cacheField name="Quantity" numFmtId="0">
      <sharedItems containsSemiMixedTypes="0" containsString="0" containsNumber="1" containsInteger="1" minValue="51" maxValue="5000"/>
    </cacheField>
    <cacheField name="Unit_Price" numFmtId="0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/>
    </cacheField>
    <cacheField name="Invoice_Date" numFmtId="14">
      <sharedItems containsSemiMixedTypes="0" containsNonDate="0" containsDate="1" containsString="0" minDate="1899-12-30T00:00:00" maxDate="2024-01-13T00:00:00"/>
    </cacheField>
    <cacheField name="Payment_Terms" numFmtId="0">
      <sharedItems/>
    </cacheField>
    <cacheField name="Term_Days" numFmtId="0">
      <sharedItems containsSemiMixedTypes="0" containsString="0" containsNumber="1" containsInteger="1" minValue="15" maxValue="45"/>
    </cacheField>
    <cacheField name="Due_Date" numFmtId="14">
      <sharedItems containsSemiMixedTypes="0" containsNonDate="0" containsDate="1" containsString="0" minDate="1900-01-14T00:00:00" maxDate="2024-02-20T00:00:00"/>
    </cacheField>
    <cacheField name="Payment_Date" numFmtId="14">
      <sharedItems containsSemiMixedTypes="0" containsNonDate="0" containsDate="1" containsString="0" minDate="1900-01-09T00:00:00" maxDate="2024-03-03T00:00:00"/>
    </cacheField>
    <cacheField name="Processing_Days" numFmtId="0">
      <sharedItems containsSemiMixedTypes="0" containsString="0" containsNumber="1" containsInteger="1" minValue="10" maxValue="65"/>
    </cacheField>
    <cacheField name="Payment_Status" numFmtId="0">
      <sharedItems count="2">
        <s v="Late"/>
        <s v="On Time"/>
      </sharedItems>
    </cacheField>
    <cacheField name="Aging_Bucket" numFmtId="0">
      <sharedItems count="3">
        <s v="31-60"/>
        <s v="0-30"/>
        <s v="61-90"/>
      </sharedItems>
    </cacheField>
    <cacheField name="Days_Late" numFmtId="0">
      <sharedItems containsSemiMixedTypes="0" containsString="0" containsNumber="1" containsInteger="1" minValue="0" maxValue="20"/>
    </cacheField>
    <cacheField name="Efficienc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ali Singh" refreshedDate="46069.958594328702" backgroundQuery="1" createdVersion="8" refreshedVersion="8" minRefreshableVersion="3" recordCount="0" supportSubquery="1" supportAdvancedDrill="1" xr:uid="{167A6EF3-E5C9-43EF-8B75-5FBCA9DD6D02}">
  <cacheSource type="external" connectionId="1"/>
  <cacheFields count="4">
    <cacheField name="[Range].[Supplier].[Supplier]" caption="Supplier" numFmtId="0" hierarchy="1" level="1">
      <sharedItems count="5">
        <s v="Alpha_Inc"/>
        <s v="Beta_Supplies"/>
        <s v="Delta_Logistics"/>
        <s v="Epsilon_Group"/>
        <s v="Gamma_Co"/>
      </sharedItems>
    </cacheField>
    <cacheField name="[Range].[Payment_Status].[Payment_Status]" caption="Payment_Status" numFmtId="0" hierarchy="18" level="1">
      <sharedItems count="2">
        <s v="Late"/>
        <s v="On Time"/>
      </sharedItems>
    </cacheField>
    <cacheField name="[Measures].[Sum of Defective_Units]" caption="Sum of Defective_Units" numFmtId="0" hierarchy="24" level="32767"/>
    <cacheField name="[Measures].[Sum of Good_Quantity]" caption="Sum of Good_Quantity" numFmtId="0" hierarchy="28" level="32767"/>
  </cacheFields>
  <cacheHierarchies count="31">
    <cacheHierarchy uniqueName="[Range].[PO_ID]" caption="PO_ID" attribute="1" defaultMemberUniqueName="[Range].[PO_ID].[All]" allUniqueName="[Range].[PO_ID].[All]" dimensionUniqueName="[Range]" displayFolder="" count="0" memberValueDatatype="130" unbalanced="0"/>
    <cacheHierarchy uniqueName="[Range].[Supplier]" caption="Supplier" attribute="1" defaultMemberUniqueName="[Range].[Supplier].[All]" allUniqueName="[Range].[Suppli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Delivery_Date]" caption="Delivery_Date" attribute="1" time="1" defaultMemberUniqueName="[Range].[Delivery_Date].[All]" allUniqueName="[Range].[Delivery_Date].[All]" dimensionUniqueName="[Range]" displayFolder="" count="0" memberValueDatatype="7" unbalanced="0"/>
    <cacheHierarchy uniqueName="[Range].[Item_Category]" caption="Item_Category" attribute="1" defaultMemberUniqueName="[Range].[Item_Category].[All]" allUniqueName="[Range].[Item_Category].[All]" dimensionUniqueName="[Range]" displayFolder="" count="0" memberValueDatatype="13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5" unbalanced="0"/>
    <cacheHierarchy uniqueName="[Range].[Negotiated_Price]" caption="Negotiated_Price" attribute="1" defaultMemberUniqueName="[Range].[Negotiated_Price].[All]" allUniqueName="[Range].[Negotiated_Price].[All]" dimensionUniqueName="[Range]" displayFolder="" count="0" memberValueDatatype="5" unbalanced="0"/>
    <cacheHierarchy uniqueName="[Range].[Defective_Units]" caption="Defective_Units" attribute="1" defaultMemberUniqueName="[Range].[Defective_Units].[All]" allUniqueName="[Range].[Defective_Units].[All]" dimensionUniqueName="[Range]" displayFolder="" count="0" memberValueDatatype="20" unbalanced="0"/>
    <cacheHierarchy uniqueName="[Range].[Good_Quantity]" caption="Good_Quantity" attribute="1" defaultMemberUniqueName="[Range].[Good_Quantity].[All]" allUniqueName="[Range].[Good_Quantity].[All]" dimensionUniqueName="[Range]" displayFolder="" count="0" memberValueDatatype="20" unbalanced="0"/>
    <cacheHierarchy uniqueName="[Range].[Compliance]" caption="Compliance" attribute="1" defaultMemberUniqueName="[Range].[Compliance].[All]" allUniqueName="[Range].[Compliance].[All]" dimensionUniqueName="[Range]" displayFolder="" count="0" memberValueDatatype="130" unbalanced="0"/>
    <cacheHierarchy uniqueName="[Range].[Invoice_Date]" caption="Invoice_Date" attribute="1" time="1" defaultMemberUniqueName="[Range].[Invoice_Date].[All]" allUniqueName="[Range].[Invoice_Date].[All]" dimensionUniqueName="[Range]" displayFolder="" count="0" memberValueDatatype="7" unbalanced="0"/>
    <cacheHierarchy uniqueName="[Range].[Payment_Terms]" caption="Payment_Terms" attribute="1" defaultMemberUniqueName="[Range].[Payment_Terms].[All]" allUniqueName="[Range].[Payment_Terms].[All]" dimensionUniqueName="[Range]" displayFolder="" count="0" memberValueDatatype="130" unbalanced="0"/>
    <cacheHierarchy uniqueName="[Range].[Term_Days]" caption="Term_Days" attribute="1" defaultMemberUniqueName="[Range].[Term_Days].[All]" allUniqueName="[Range].[Term_Days].[All]" dimensionUniqueName="[Range]" displayFolder="" count="0" memberValueDatatype="20" unbalanced="0"/>
    <cacheHierarchy uniqueName="[Range].[Due_Date]" caption="Due_Date" attribute="1" time="1" defaultMemberUniqueName="[Range].[Due_Date].[All]" allUniqueName="[Range].[Due_Date].[All]" dimensionUniqueName="[Range]" displayFolder="" count="0" memberValueDatatype="7" unbalanced="0"/>
    <cacheHierarchy uniqueName="[Range].[Payment_Date]" caption="Payment_Date" attribute="1" time="1" defaultMemberUniqueName="[Range].[Payment_Date].[All]" allUniqueName="[Range].[Payment_Date].[All]" dimensionUniqueName="[Range]" displayFolder="" count="0" memberValueDatatype="7" unbalanced="0"/>
    <cacheHierarchy uniqueName="[Range].[Processing_Days]" caption="Processing_Days" attribute="1" defaultMemberUniqueName="[Range].[Processing_Days].[All]" allUniqueName="[Range].[Processing_Days].[All]" dimensionUniqueName="[Range]" displayFolder="" count="0" memberValueDatatype="20" unbalanced="0"/>
    <cacheHierarchy uniqueName="[Range].[Payment_Status]" caption="Payment_Status" attribute="1" defaultMemberUniqueName="[Range].[Payment_Status].[All]" allUniqueName="[Range].[Payment_Status].[All]" dimensionUniqueName="[Range]" displayFolder="" count="2" memberValueDatatype="130" unbalanced="0">
      <fieldsUsage count="2">
        <fieldUsage x="-1"/>
        <fieldUsage x="1"/>
      </fieldsUsage>
    </cacheHierarchy>
    <cacheHierarchy uniqueName="[Range].[Aging_Bucket]" caption="Aging_Bucket" attribute="1" defaultMemberUniqueName="[Range].[Aging_Bucket].[All]" allUniqueName="[Range].[Aging_Bucket].[All]" dimensionUniqueName="[Range]" displayFolder="" count="0" memberValueDatatype="130" unbalanced="0"/>
    <cacheHierarchy uniqueName="[Range].[Days_Late]" caption="Days_Late" attribute="1" defaultMemberUniqueName="[Range].[Days_Late].[All]" allUniqueName="[Range].[Days_Late].[All]" dimensionUniqueName="[Range]" displayFolder="" count="0" memberValueDatatype="20" unbalanced="0"/>
    <cacheHierarchy uniqueName="[Range].[Efficiency_Flag]" caption="Efficiency_Flag" attribute="1" defaultMemberUniqueName="[Range].[Efficiency_Flag].[All]" allUniqueName="[Range].[Efficiency_Flag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efective_Units]" caption="Sum of Defective_Unit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Efficiency_Flag]" caption="Count of Efficiency_Flag" measure="1" displayFolder="" measureGroup="Rang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Status]" caption="Count of Payment_Status" measure="1" displayFolder="" measureGroup="Rang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ood_Quantity]" caption="Sum of Good_Quantity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Good_Quantity]" caption="Count of Good_Quantity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fective_Units]" caption="Count of Defective_Unit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PO-00001"/>
    <x v="0"/>
    <d v="2023-10-17T00:00:00"/>
    <d v="2023-10-25T00:00:00"/>
    <s v="Office Supplies"/>
    <s v="Cancelled"/>
    <n v="1176"/>
    <n v="20.13"/>
    <n v="17.809999999999999"/>
    <m/>
    <s v="Yes"/>
    <d v="2023-10-25T00:00:00"/>
    <s v="Net 45"/>
    <n v="45"/>
    <d v="2023-12-09T00:00:00"/>
    <d v="2023-12-11T00:00:00"/>
    <n v="47"/>
    <x v="0"/>
    <x v="0"/>
    <n v="2"/>
    <s v="Inefficient"/>
  </r>
  <r>
    <s v="PO-00002"/>
    <x v="1"/>
    <d v="2022-04-25T00:00:00"/>
    <d v="2022-05-05T00:00:00"/>
    <s v="Office Supplies"/>
    <s v="Delivered"/>
    <n v="1509"/>
    <n v="39.32"/>
    <n v="37.340000000000003"/>
    <n v="235"/>
    <s v="Yes"/>
    <d v="2022-05-05T00:00:00"/>
    <s v="Net 30"/>
    <n v="30"/>
    <d v="2022-06-04T00:00:00"/>
    <d v="2022-06-11T00:00:00"/>
    <n v="37"/>
    <x v="0"/>
    <x v="0"/>
    <n v="7"/>
    <s v="Inefficient"/>
  </r>
  <r>
    <s v="PO-00003"/>
    <x v="2"/>
    <d v="2022-01-26T00:00:00"/>
    <d v="2022-02-15T00:00:00"/>
    <s v="MRO"/>
    <s v="Delivered"/>
    <n v="910"/>
    <n v="95.51"/>
    <n v="92.26"/>
    <n v="41"/>
    <s v="Yes"/>
    <d v="2022-02-15T00:00:00"/>
    <s v="Net 45"/>
    <n v="45"/>
    <d v="2022-04-01T00:00:00"/>
    <d v="2022-03-27T00:00:00"/>
    <n v="40"/>
    <x v="1"/>
    <x v="0"/>
    <n v="0"/>
    <s v="Efficient"/>
  </r>
  <r>
    <s v="PO-00004"/>
    <x v="3"/>
    <d v="2022-10-09T00:00:00"/>
    <d v="2022-10-28T00:00:00"/>
    <s v="Packaging"/>
    <s v="Delivered"/>
    <n v="1344"/>
    <n v="99.85"/>
    <n v="95.52"/>
    <n v="112"/>
    <s v="Yes"/>
    <d v="2022-10-28T00:00:00"/>
    <s v="Net 15"/>
    <n v="15"/>
    <d v="2022-11-12T00:00:00"/>
    <d v="2022-11-15T00:00:00"/>
    <n v="18"/>
    <x v="0"/>
    <x v="1"/>
    <n v="3"/>
    <s v="Inefficient"/>
  </r>
  <r>
    <s v="PO-00005"/>
    <x v="1"/>
    <d v="2022-09-08T00:00:00"/>
    <d v="2022-09-20T00:00:00"/>
    <s v="Raw Materials"/>
    <s v="Delivered"/>
    <n v="1180"/>
    <n v="64.069999999999993"/>
    <n v="60.53"/>
    <n v="171"/>
    <s v="No"/>
    <d v="2022-09-20T00:00:00"/>
    <s v="Net 45"/>
    <n v="45"/>
    <d v="2022-11-04T00:00:00"/>
    <d v="2022-11-09T00:00:00"/>
    <n v="50"/>
    <x v="0"/>
    <x v="0"/>
    <n v="5"/>
    <s v="Inefficient"/>
  </r>
  <r>
    <s v="PO-00006"/>
    <x v="4"/>
    <d v="2022-08-17T00:00:00"/>
    <d v="2022-08-29T00:00:00"/>
    <s v="MRO"/>
    <s v="Delivered"/>
    <n v="1145"/>
    <n v="69.209999999999994"/>
    <n v="63.57"/>
    <n v="39"/>
    <s v="Yes"/>
    <d v="2022-08-29T00:00:00"/>
    <s v="Net 30"/>
    <n v="30"/>
    <d v="2022-09-28T00:00:00"/>
    <d v="2022-10-05T00:00:00"/>
    <n v="37"/>
    <x v="0"/>
    <x v="0"/>
    <n v="7"/>
    <s v="Inefficient"/>
  </r>
  <r>
    <s v="PO-00007"/>
    <x v="2"/>
    <d v="2022-05-23T00:00:00"/>
    <d v="2022-06-03T00:00:00"/>
    <s v="MRO"/>
    <s v="Delivered"/>
    <n v="1774"/>
    <n v="51.37"/>
    <n v="47.82"/>
    <n v="96"/>
    <s v="No"/>
    <d v="2022-06-03T00:00:00"/>
    <s v="Net 15"/>
    <n v="15"/>
    <d v="2022-06-18T00:00:00"/>
    <d v="2022-06-22T00:00:00"/>
    <n v="19"/>
    <x v="0"/>
    <x v="1"/>
    <n v="4"/>
    <s v="Inefficient"/>
  </r>
  <r>
    <s v="PO-00008"/>
    <x v="0"/>
    <d v="2022-04-15T00:00:00"/>
    <d v="2022-04-29T00:00:00"/>
    <s v="MRO"/>
    <s v="Delivered"/>
    <n v="1094"/>
    <n v="36.93"/>
    <n v="32.78"/>
    <n v="22"/>
    <s v="Yes"/>
    <d v="2022-04-29T00:00:00"/>
    <s v="Net 30"/>
    <n v="30"/>
    <d v="2022-05-29T00:00:00"/>
    <d v="2022-06-01T00:00:00"/>
    <n v="33"/>
    <x v="0"/>
    <x v="0"/>
    <n v="3"/>
    <s v="Inefficient"/>
  </r>
  <r>
    <s v="PO-00009"/>
    <x v="2"/>
    <d v="2023-11-24T00:00:00"/>
    <d v="2023-11-28T00:00:00"/>
    <s v="Raw Materials"/>
    <s v="Partially Delivered"/>
    <n v="1688"/>
    <n v="43.93"/>
    <n v="39.89"/>
    <n v="89"/>
    <s v="Yes"/>
    <d v="2023-11-28T00:00:00"/>
    <s v="Net 15"/>
    <n v="15"/>
    <d v="2023-12-13T00:00:00"/>
    <d v="2024-01-01T00:00:00"/>
    <n v="34"/>
    <x v="0"/>
    <x v="0"/>
    <n v="19"/>
    <s v="Inefficient"/>
  </r>
  <r>
    <s v="PO-00010"/>
    <x v="2"/>
    <d v="2023-07-13T00:00:00"/>
    <d v="2023-07-25T00:00:00"/>
    <s v="Raw Materials"/>
    <s v="Pending"/>
    <n v="171"/>
    <n v="76.87"/>
    <n v="70.2"/>
    <n v="8"/>
    <s v="Yes"/>
    <d v="2023-07-25T00:00:00"/>
    <s v="Net 15"/>
    <n v="15"/>
    <d v="2023-08-09T00:00:00"/>
    <d v="2023-08-15T00:00:00"/>
    <n v="21"/>
    <x v="0"/>
    <x v="1"/>
    <n v="6"/>
    <s v="Inefficient"/>
  </r>
  <r>
    <s v="PO-00011"/>
    <x v="4"/>
    <d v="2022-03-31T00:00:00"/>
    <d v="2022-04-15T00:00:00"/>
    <s v="Raw Materials"/>
    <s v="Delivered"/>
    <n v="5000"/>
    <n v="78.489999999999995"/>
    <n v="73.680000000000007"/>
    <n v="18"/>
    <s v="Yes"/>
    <d v="2022-04-15T00:00:00"/>
    <s v="Net 30"/>
    <n v="30"/>
    <d v="2022-05-15T00:00:00"/>
    <d v="2022-05-14T00:00:00"/>
    <n v="29"/>
    <x v="1"/>
    <x v="1"/>
    <n v="0"/>
    <s v="Efficient"/>
  </r>
  <r>
    <s v="PO-00012"/>
    <x v="3"/>
    <d v="2023-08-28T00:00:00"/>
    <d v="2023-09-11T00:00:00"/>
    <s v="Raw Materials"/>
    <s v="Delivered"/>
    <n v="5000"/>
    <n v="88.96"/>
    <n v="86.58"/>
    <n v="115"/>
    <s v="Yes"/>
    <d v="2023-09-11T00:00:00"/>
    <s v="Net 45"/>
    <n v="45"/>
    <d v="2023-10-26T00:00:00"/>
    <d v="2023-10-28T00:00:00"/>
    <n v="47"/>
    <x v="0"/>
    <x v="0"/>
    <n v="2"/>
    <s v="Inefficient"/>
  </r>
  <r>
    <s v="PO-00013"/>
    <x v="3"/>
    <d v="2023-03-09T00:00:00"/>
    <d v="2023-03-26T00:00:00"/>
    <s v="Electronics"/>
    <s v="Pending"/>
    <n v="5000"/>
    <n v="86.74"/>
    <n v="74.86"/>
    <n v="51"/>
    <s v="Yes"/>
    <d v="2023-03-26T00:00:00"/>
    <s v="Net 45"/>
    <n v="45"/>
    <d v="2023-05-10T00:00:00"/>
    <d v="2023-05-14T00:00:00"/>
    <n v="49"/>
    <x v="0"/>
    <x v="0"/>
    <n v="4"/>
    <s v="Inefficient"/>
  </r>
  <r>
    <s v="PO-00014"/>
    <x v="3"/>
    <d v="2022-02-02T00:00:00"/>
    <m/>
    <s v="MRO"/>
    <s v="Delivered"/>
    <n v="5000"/>
    <n v="18.3"/>
    <n v="16.88"/>
    <m/>
    <s v="Yes"/>
    <d v="1899-12-30T00:00:00"/>
    <s v="Net 30"/>
    <n v="30"/>
    <d v="1900-01-29T00:00:00"/>
    <d v="1900-02-04T00:00:00"/>
    <n v="36"/>
    <x v="0"/>
    <x v="0"/>
    <n v="6"/>
    <s v="Inefficient"/>
  </r>
  <r>
    <s v="PO-00015"/>
    <x v="1"/>
    <d v="2022-01-31T00:00:00"/>
    <d v="2022-02-18T00:00:00"/>
    <s v="Electronics"/>
    <s v="Pending"/>
    <n v="5000"/>
    <n v="54.5"/>
    <n v="48.45"/>
    <n v="22"/>
    <s v="Yes"/>
    <d v="2022-02-18T00:00:00"/>
    <s v="Net 45"/>
    <n v="45"/>
    <d v="2022-04-04T00:00:00"/>
    <d v="2022-03-31T00:00:00"/>
    <n v="41"/>
    <x v="1"/>
    <x v="0"/>
    <n v="0"/>
    <s v="Efficient"/>
  </r>
  <r>
    <s v="PO-00016"/>
    <x v="3"/>
    <d v="2022-04-06T00:00:00"/>
    <d v="2022-04-21T00:00:00"/>
    <s v="Packaging"/>
    <s v="Delivered"/>
    <n v="5000"/>
    <n v="15.41"/>
    <n v="15.12"/>
    <m/>
    <s v="Yes"/>
    <d v="2022-04-21T00:00:00"/>
    <s v="Net 45"/>
    <n v="45"/>
    <d v="2022-06-05T00:00:00"/>
    <d v="2022-06-11T00:00:00"/>
    <n v="51"/>
    <x v="0"/>
    <x v="0"/>
    <n v="6"/>
    <s v="Inefficient"/>
  </r>
  <r>
    <s v="PO-00017"/>
    <x v="1"/>
    <d v="2022-08-12T00:00:00"/>
    <d v="2022-08-31T00:00:00"/>
    <s v="MRO"/>
    <s v="Delivered"/>
    <n v="1173"/>
    <n v="61.54"/>
    <n v="55.49"/>
    <n v="172"/>
    <s v="No"/>
    <d v="2022-08-31T00:00:00"/>
    <s v="Net 30"/>
    <n v="30"/>
    <d v="2022-09-30T00:00:00"/>
    <d v="2022-09-29T00:00:00"/>
    <n v="29"/>
    <x v="1"/>
    <x v="1"/>
    <n v="0"/>
    <s v="Efficient"/>
  </r>
  <r>
    <s v="PO-00018"/>
    <x v="4"/>
    <d v="2022-08-27T00:00:00"/>
    <d v="2022-09-04T00:00:00"/>
    <s v="Raw Materials"/>
    <s v="Delivered"/>
    <n v="921"/>
    <n v="51.48"/>
    <n v="50.61"/>
    <m/>
    <s v="Yes"/>
    <d v="2022-09-04T00:00:00"/>
    <s v="Net 15"/>
    <n v="15"/>
    <d v="2022-09-19T00:00:00"/>
    <d v="2022-09-24T00:00:00"/>
    <n v="20"/>
    <x v="0"/>
    <x v="1"/>
    <n v="5"/>
    <s v="Inefficient"/>
  </r>
  <r>
    <s v="PO-00019"/>
    <x v="2"/>
    <d v="2023-06-02T00:00:00"/>
    <d v="2023-06-05T00:00:00"/>
    <s v="Raw Materials"/>
    <s v="Partially Delivered"/>
    <n v="1737"/>
    <n v="97.53"/>
    <n v="87.37"/>
    <n v="79"/>
    <s v="Yes"/>
    <d v="2023-06-05T00:00:00"/>
    <s v="Net 15"/>
    <n v="15"/>
    <d v="2023-06-20T00:00:00"/>
    <d v="2023-06-26T00:00:00"/>
    <n v="21"/>
    <x v="0"/>
    <x v="1"/>
    <n v="6"/>
    <s v="Inefficient"/>
  </r>
  <r>
    <s v="PO-00020"/>
    <x v="1"/>
    <d v="2023-09-09T00:00:00"/>
    <d v="2023-09-24T00:00:00"/>
    <s v="Raw Materials"/>
    <s v="Delivered"/>
    <n v="180"/>
    <n v="45.74"/>
    <n v="38.89"/>
    <m/>
    <s v="No"/>
    <d v="2023-09-24T00:00:00"/>
    <s v="Net 15"/>
    <n v="15"/>
    <d v="2023-10-09T00:00:00"/>
    <d v="2023-10-17T00:00:00"/>
    <n v="23"/>
    <x v="0"/>
    <x v="1"/>
    <n v="8"/>
    <s v="Inefficient"/>
  </r>
  <r>
    <s v="PO-00021"/>
    <x v="4"/>
    <d v="2022-01-28T00:00:00"/>
    <d v="2022-02-12T00:00:00"/>
    <s v="Electronics"/>
    <s v="Cancelled"/>
    <n v="1735"/>
    <n v="20.54"/>
    <n v="19.690000000000001"/>
    <n v="49"/>
    <s v="Yes"/>
    <d v="2022-02-12T00:00:00"/>
    <s v="Net 15"/>
    <n v="15"/>
    <d v="2022-02-27T00:00:00"/>
    <d v="2022-03-03T00:00:00"/>
    <n v="19"/>
    <x v="0"/>
    <x v="1"/>
    <n v="4"/>
    <s v="Inefficient"/>
  </r>
  <r>
    <s v="PO-00022"/>
    <x v="1"/>
    <d v="2023-07-29T00:00:00"/>
    <d v="2023-08-11T00:00:00"/>
    <s v="Raw Materials"/>
    <s v="Delivered"/>
    <n v="1382"/>
    <n v="24.93"/>
    <n v="23.75"/>
    <m/>
    <s v="Yes"/>
    <d v="2023-08-11T00:00:00"/>
    <s v="Net 30"/>
    <n v="30"/>
    <d v="2023-09-10T00:00:00"/>
    <d v="2023-09-13T00:00:00"/>
    <n v="33"/>
    <x v="0"/>
    <x v="0"/>
    <n v="3"/>
    <s v="Inefficient"/>
  </r>
  <r>
    <s v="PO-00023"/>
    <x v="4"/>
    <d v="2022-07-23T00:00:00"/>
    <d v="2022-08-08T00:00:00"/>
    <s v="MRO"/>
    <s v="Delivered"/>
    <n v="819"/>
    <n v="80.89"/>
    <n v="77.03"/>
    <n v="29"/>
    <s v="Yes"/>
    <d v="2022-08-08T00:00:00"/>
    <s v="Net 15"/>
    <n v="15"/>
    <d v="2022-08-23T00:00:00"/>
    <d v="2022-09-01T00:00:00"/>
    <n v="24"/>
    <x v="0"/>
    <x v="1"/>
    <n v="9"/>
    <s v="Inefficient"/>
  </r>
  <r>
    <s v="PO-00024"/>
    <x v="3"/>
    <d v="2023-10-28T00:00:00"/>
    <d v="2023-11-03T00:00:00"/>
    <s v="Office Supplies"/>
    <s v="Partially Delivered"/>
    <n v="393"/>
    <n v="72.53"/>
    <n v="66.31"/>
    <n v="42"/>
    <s v="No"/>
    <d v="2023-11-03T00:00:00"/>
    <s v="Net 45"/>
    <n v="45"/>
    <d v="2023-12-18T00:00:00"/>
    <d v="2023-12-23T00:00:00"/>
    <n v="50"/>
    <x v="0"/>
    <x v="0"/>
    <n v="5"/>
    <s v="Inefficient"/>
  </r>
  <r>
    <s v="PO-00025"/>
    <x v="3"/>
    <d v="2023-12-20T00:00:00"/>
    <d v="2024-01-01T00:00:00"/>
    <s v="MRO"/>
    <s v="Delivered"/>
    <n v="1565"/>
    <n v="21.3"/>
    <n v="20.09"/>
    <n v="161"/>
    <s v="Yes"/>
    <d v="2024-01-01T00:00:00"/>
    <s v="Net 45"/>
    <n v="45"/>
    <d v="2024-02-15T00:00:00"/>
    <d v="2024-02-12T00:00:00"/>
    <n v="42"/>
    <x v="1"/>
    <x v="0"/>
    <n v="0"/>
    <s v="Efficient"/>
  </r>
  <r>
    <s v="PO-00026"/>
    <x v="4"/>
    <d v="2023-07-13T00:00:00"/>
    <d v="2023-07-24T00:00:00"/>
    <s v="Packaging"/>
    <s v="Delivered"/>
    <n v="1487"/>
    <n v="19.149999999999999"/>
    <n v="17.239999999999998"/>
    <m/>
    <s v="Yes"/>
    <d v="2023-07-24T00:00:00"/>
    <s v="Net 15"/>
    <n v="15"/>
    <d v="2023-08-08T00:00:00"/>
    <d v="2023-08-05T00:00:00"/>
    <n v="12"/>
    <x v="1"/>
    <x v="1"/>
    <n v="0"/>
    <s v="Efficient"/>
  </r>
  <r>
    <s v="PO-00027"/>
    <x v="0"/>
    <d v="2023-03-06T00:00:00"/>
    <d v="2023-03-26T00:00:00"/>
    <s v="MRO"/>
    <s v="Delivered"/>
    <n v="855"/>
    <n v="78.2"/>
    <n v="67.16"/>
    <n v="17"/>
    <s v="Yes"/>
    <d v="2023-03-26T00:00:00"/>
    <s v="Net 45"/>
    <n v="45"/>
    <d v="2023-05-10T00:00:00"/>
    <d v="2023-05-30T00:00:00"/>
    <n v="65"/>
    <x v="0"/>
    <x v="2"/>
    <n v="20"/>
    <s v="Inefficient"/>
  </r>
  <r>
    <s v="PO-00028"/>
    <x v="4"/>
    <d v="2022-08-14T00:00:00"/>
    <d v="2022-08-23T00:00:00"/>
    <s v="Raw Materials"/>
    <s v="Delivered"/>
    <n v="435"/>
    <n v="17.13"/>
    <n v="15.84"/>
    <n v="8"/>
    <s v="Yes"/>
    <d v="2022-08-23T00:00:00"/>
    <s v="Net 30"/>
    <n v="30"/>
    <d v="2022-09-22T00:00:00"/>
    <d v="2022-09-26T00:00:00"/>
    <n v="34"/>
    <x v="0"/>
    <x v="0"/>
    <n v="4"/>
    <s v="Inefficient"/>
  </r>
  <r>
    <s v="PO-00029"/>
    <x v="1"/>
    <d v="2023-04-05T00:00:00"/>
    <d v="2023-04-22T00:00:00"/>
    <s v="MRO"/>
    <s v="Delivered"/>
    <n v="1265"/>
    <n v="90.26"/>
    <n v="79.47"/>
    <n v="187"/>
    <s v="Yes"/>
    <d v="2023-04-22T00:00:00"/>
    <s v="Net 30"/>
    <n v="30"/>
    <d v="2023-05-22T00:00:00"/>
    <d v="2023-05-25T00:00:00"/>
    <n v="33"/>
    <x v="0"/>
    <x v="0"/>
    <n v="3"/>
    <s v="Inefficient"/>
  </r>
  <r>
    <s v="PO-00030"/>
    <x v="4"/>
    <d v="2023-08-27T00:00:00"/>
    <m/>
    <s v="MRO"/>
    <s v="Delivered"/>
    <n v="1005"/>
    <n v="80.55"/>
    <n v="73.31"/>
    <n v="30"/>
    <s v="Yes"/>
    <d v="1899-12-30T00:00:00"/>
    <s v="Net 15"/>
    <n v="15"/>
    <d v="1900-01-14T00:00:00"/>
    <d v="1900-01-16T00:00:00"/>
    <n v="17"/>
    <x v="0"/>
    <x v="1"/>
    <n v="2"/>
    <s v="Inefficient"/>
  </r>
  <r>
    <s v="PO-00031"/>
    <x v="2"/>
    <d v="2022-10-12T00:00:00"/>
    <d v="2022-10-26T00:00:00"/>
    <s v="Electronics"/>
    <s v="Delivered"/>
    <n v="326"/>
    <n v="18.100000000000001"/>
    <n v="15.92"/>
    <m/>
    <s v="No"/>
    <d v="2022-10-26T00:00:00"/>
    <s v="Net 15"/>
    <n v="15"/>
    <d v="2022-11-10T00:00:00"/>
    <d v="2022-11-20T00:00:00"/>
    <n v="25"/>
    <x v="0"/>
    <x v="1"/>
    <n v="10"/>
    <s v="Inefficient"/>
  </r>
  <r>
    <s v="PO-00032"/>
    <x v="0"/>
    <d v="2022-01-07T00:00:00"/>
    <d v="2022-01-15T00:00:00"/>
    <s v="Office Supplies"/>
    <s v="Delivered"/>
    <n v="1234"/>
    <n v="17.64"/>
    <n v="15.66"/>
    <n v="26"/>
    <s v="Yes"/>
    <d v="2022-01-15T00:00:00"/>
    <s v="Net 45"/>
    <n v="45"/>
    <d v="2022-03-01T00:00:00"/>
    <d v="2022-03-02T00:00:00"/>
    <n v="46"/>
    <x v="0"/>
    <x v="0"/>
    <n v="1"/>
    <s v="Inefficient"/>
  </r>
  <r>
    <s v="PO-00033"/>
    <x v="4"/>
    <d v="2022-06-13T00:00:00"/>
    <d v="2022-06-29T00:00:00"/>
    <s v="MRO"/>
    <s v="Delivered"/>
    <n v="509"/>
    <n v="101.27"/>
    <n v="97.82"/>
    <n v="19"/>
    <s v="Yes"/>
    <d v="2022-06-29T00:00:00"/>
    <s v="Net 15"/>
    <n v="15"/>
    <d v="2022-07-14T00:00:00"/>
    <d v="2022-07-13T00:00:00"/>
    <n v="14"/>
    <x v="1"/>
    <x v="1"/>
    <n v="0"/>
    <s v="Efficient"/>
  </r>
  <r>
    <s v="PO-00034"/>
    <x v="0"/>
    <d v="2023-12-16T00:00:00"/>
    <d v="2023-12-17T00:00:00"/>
    <s v="Packaging"/>
    <s v="Delivered"/>
    <n v="1387"/>
    <n v="48.71"/>
    <n v="43.71"/>
    <n v="27"/>
    <s v="Yes"/>
    <d v="2023-12-17T00:00:00"/>
    <s v="Net 45"/>
    <n v="45"/>
    <d v="2024-01-31T00:00:00"/>
    <d v="2024-01-27T00:00:00"/>
    <n v="41"/>
    <x v="1"/>
    <x v="0"/>
    <n v="0"/>
    <s v="Efficient"/>
  </r>
  <r>
    <s v="PO-00035"/>
    <x v="0"/>
    <d v="2023-03-09T00:00:00"/>
    <d v="2023-03-17T00:00:00"/>
    <s v="MRO"/>
    <s v="Delivered"/>
    <n v="71"/>
    <n v="46.39"/>
    <n v="43.18"/>
    <n v="0"/>
    <s v="Yes"/>
    <d v="2023-03-17T00:00:00"/>
    <s v="Net 45"/>
    <n v="45"/>
    <d v="2023-05-01T00:00:00"/>
    <d v="2023-05-10T00:00:00"/>
    <n v="54"/>
    <x v="0"/>
    <x v="0"/>
    <n v="9"/>
    <s v="Inefficient"/>
  </r>
  <r>
    <s v="PO-00036"/>
    <x v="4"/>
    <d v="2022-12-15T00:00:00"/>
    <d v="2022-12-23T00:00:00"/>
    <s v="Office Supplies"/>
    <s v="Delivered"/>
    <n v="302"/>
    <n v="87.73"/>
    <n v="81.52"/>
    <n v="9"/>
    <s v="Yes"/>
    <d v="2022-12-23T00:00:00"/>
    <s v="Net 45"/>
    <n v="45"/>
    <d v="2023-02-06T00:00:00"/>
    <d v="2023-02-07T00:00:00"/>
    <n v="46"/>
    <x v="0"/>
    <x v="0"/>
    <n v="1"/>
    <s v="Inefficient"/>
  </r>
  <r>
    <s v="PO-00037"/>
    <x v="4"/>
    <d v="2022-10-12T00:00:00"/>
    <d v="2022-10-31T00:00:00"/>
    <s v="Office Supplies"/>
    <s v="Pending"/>
    <n v="797"/>
    <n v="99.54"/>
    <n v="91.37"/>
    <n v="18"/>
    <s v="Yes"/>
    <d v="2022-10-31T00:00:00"/>
    <s v="Net 30"/>
    <n v="30"/>
    <d v="2022-11-30T00:00:00"/>
    <d v="2022-11-29T00:00:00"/>
    <n v="29"/>
    <x v="1"/>
    <x v="1"/>
    <n v="0"/>
    <s v="Efficient"/>
  </r>
  <r>
    <s v="PO-00038"/>
    <x v="3"/>
    <d v="2022-06-09T00:00:00"/>
    <d v="2022-06-27T00:00:00"/>
    <s v="Office Supplies"/>
    <s v="Pending"/>
    <n v="906"/>
    <n v="101.21"/>
    <n v="90.9"/>
    <n v="94"/>
    <s v="Yes"/>
    <d v="2022-06-27T00:00:00"/>
    <s v="Net 15"/>
    <n v="15"/>
    <d v="2022-07-12T00:00:00"/>
    <d v="2022-07-12T00:00:00"/>
    <n v="15"/>
    <x v="1"/>
    <x v="1"/>
    <n v="0"/>
    <s v="Efficient"/>
  </r>
  <r>
    <s v="PO-00039"/>
    <x v="4"/>
    <d v="2022-08-09T00:00:00"/>
    <d v="2022-08-23T00:00:00"/>
    <s v="Office Supplies"/>
    <s v="Delivered"/>
    <n v="1634"/>
    <n v="80.53"/>
    <n v="76.150000000000006"/>
    <n v="50"/>
    <s v="Yes"/>
    <d v="2022-08-23T00:00:00"/>
    <s v="Net 30"/>
    <n v="30"/>
    <d v="2022-09-22T00:00:00"/>
    <d v="2022-09-25T00:00:00"/>
    <n v="33"/>
    <x v="0"/>
    <x v="0"/>
    <n v="3"/>
    <s v="Inefficient"/>
  </r>
  <r>
    <s v="PO-00040"/>
    <x v="4"/>
    <d v="2022-12-11T00:00:00"/>
    <m/>
    <s v="Office Supplies"/>
    <s v="Delivered"/>
    <n v="524"/>
    <n v="46.28"/>
    <n v="39.65"/>
    <n v="14"/>
    <s v="Yes"/>
    <d v="1899-12-30T00:00:00"/>
    <s v="Net 30"/>
    <n v="30"/>
    <d v="1900-01-29T00:00:00"/>
    <d v="1900-02-10T00:00:00"/>
    <n v="42"/>
    <x v="0"/>
    <x v="0"/>
    <n v="12"/>
    <s v="Inefficient"/>
  </r>
  <r>
    <s v="PO-00041"/>
    <x v="3"/>
    <d v="2022-04-15T00:00:00"/>
    <d v="2022-04-27T00:00:00"/>
    <s v="Electronics"/>
    <s v="Delivered"/>
    <n v="1132"/>
    <n v="17.78"/>
    <n v="15.36"/>
    <n v="96"/>
    <s v="Yes"/>
    <d v="2022-04-27T00:00:00"/>
    <s v="Net 15"/>
    <n v="15"/>
    <d v="2022-05-12T00:00:00"/>
    <d v="2022-05-23T00:00:00"/>
    <n v="26"/>
    <x v="0"/>
    <x v="1"/>
    <n v="11"/>
    <s v="Inefficient"/>
  </r>
  <r>
    <s v="PO-00042"/>
    <x v="3"/>
    <d v="2022-04-05T00:00:00"/>
    <d v="2022-04-14T00:00:00"/>
    <s v="Office Supplies"/>
    <s v="Delivered"/>
    <n v="560"/>
    <n v="81.14"/>
    <n v="77.87"/>
    <n v="34"/>
    <s v="No"/>
    <d v="2022-04-14T00:00:00"/>
    <s v="Net 30"/>
    <n v="30"/>
    <d v="2022-05-14T00:00:00"/>
    <d v="2022-05-31T00:00:00"/>
    <n v="47"/>
    <x v="0"/>
    <x v="0"/>
    <n v="17"/>
    <s v="Inefficient"/>
  </r>
  <r>
    <s v="PO-00043"/>
    <x v="2"/>
    <d v="2023-01-25T00:00:00"/>
    <d v="2023-02-02T00:00:00"/>
    <s v="Electronics"/>
    <s v="Delivered"/>
    <n v="1755"/>
    <n v="63.87"/>
    <n v="58.4"/>
    <n v="85"/>
    <s v="Yes"/>
    <d v="2023-02-02T00:00:00"/>
    <s v="Net 30"/>
    <n v="30"/>
    <d v="2023-03-04T00:00:00"/>
    <d v="2023-03-07T00:00:00"/>
    <n v="33"/>
    <x v="0"/>
    <x v="0"/>
    <n v="3"/>
    <s v="Inefficient"/>
  </r>
  <r>
    <s v="PO-00044"/>
    <x v="4"/>
    <d v="2022-04-10T00:00:00"/>
    <d v="2022-04-17T00:00:00"/>
    <s v="MRO"/>
    <s v="Delivered"/>
    <n v="1549"/>
    <n v="48.9"/>
    <n v="42.42"/>
    <n v="48"/>
    <s v="Yes"/>
    <d v="2022-04-17T00:00:00"/>
    <s v="Net 45"/>
    <n v="45"/>
    <d v="2022-06-01T00:00:00"/>
    <d v="2022-06-02T00:00:00"/>
    <n v="46"/>
    <x v="0"/>
    <x v="0"/>
    <n v="1"/>
    <s v="Inefficient"/>
  </r>
  <r>
    <s v="PO-00045"/>
    <x v="1"/>
    <d v="2023-01-03T00:00:00"/>
    <d v="2023-01-21T00:00:00"/>
    <s v="MRO"/>
    <s v="Delivered"/>
    <n v="749"/>
    <n v="97.07"/>
    <n v="94.16"/>
    <n v="123"/>
    <s v="Yes"/>
    <d v="2023-01-21T00:00:00"/>
    <s v="Net 45"/>
    <n v="45"/>
    <d v="2023-03-07T00:00:00"/>
    <d v="2023-03-11T00:00:00"/>
    <n v="49"/>
    <x v="0"/>
    <x v="0"/>
    <n v="4"/>
    <s v="Inefficient"/>
  </r>
  <r>
    <s v="PO-00046"/>
    <x v="0"/>
    <d v="2022-12-19T00:00:00"/>
    <m/>
    <s v="Electronics"/>
    <s v="Delivered"/>
    <n v="1025"/>
    <n v="21.11"/>
    <n v="19.25"/>
    <n v="15"/>
    <s v="Yes"/>
    <d v="1899-12-30T00:00:00"/>
    <s v="Net 30"/>
    <n v="30"/>
    <d v="1900-01-29T00:00:00"/>
    <d v="1900-02-07T00:00:00"/>
    <n v="39"/>
    <x v="0"/>
    <x v="0"/>
    <n v="9"/>
    <s v="Inefficient"/>
  </r>
  <r>
    <s v="PO-00047"/>
    <x v="3"/>
    <d v="2023-09-11T00:00:00"/>
    <d v="2023-09-18T00:00:00"/>
    <s v="Raw Materials"/>
    <s v="Delivered"/>
    <n v="1856"/>
    <n v="59.77"/>
    <n v="50.81"/>
    <n v="191"/>
    <s v="Yes"/>
    <d v="2023-09-18T00:00:00"/>
    <s v="Net 30"/>
    <n v="30"/>
    <d v="2023-10-18T00:00:00"/>
    <d v="2023-10-17T00:00:00"/>
    <n v="29"/>
    <x v="1"/>
    <x v="1"/>
    <n v="0"/>
    <s v="Efficient"/>
  </r>
  <r>
    <s v="PO-00048"/>
    <x v="4"/>
    <d v="2022-09-28T00:00:00"/>
    <d v="2022-10-14T00:00:00"/>
    <s v="Office Supplies"/>
    <s v="Delivered"/>
    <n v="239"/>
    <n v="11.46"/>
    <n v="11.28"/>
    <n v="4"/>
    <s v="Yes"/>
    <d v="2022-10-14T00:00:00"/>
    <s v="Net 45"/>
    <n v="45"/>
    <d v="2022-11-28T00:00:00"/>
    <d v="2022-12-15T00:00:00"/>
    <n v="62"/>
    <x v="0"/>
    <x v="2"/>
    <n v="17"/>
    <s v="Inefficient"/>
  </r>
  <r>
    <s v="PO-00049"/>
    <x v="1"/>
    <d v="2022-02-14T00:00:00"/>
    <d v="2022-03-05T00:00:00"/>
    <s v="Office Supplies"/>
    <s v="Pending"/>
    <n v="1007"/>
    <n v="52.44"/>
    <n v="46.06"/>
    <n v="167"/>
    <s v="Yes"/>
    <d v="2022-03-05T00:00:00"/>
    <s v="Net 45"/>
    <n v="45"/>
    <d v="2022-04-19T00:00:00"/>
    <d v="2022-05-01T00:00:00"/>
    <n v="57"/>
    <x v="0"/>
    <x v="0"/>
    <n v="12"/>
    <s v="Inefficient"/>
  </r>
  <r>
    <s v="PO-00050"/>
    <x v="0"/>
    <d v="2023-04-16T00:00:00"/>
    <m/>
    <s v="MRO"/>
    <s v="Pending"/>
    <n v="736"/>
    <n v="16.2"/>
    <n v="15.33"/>
    <n v="18"/>
    <s v="Yes"/>
    <d v="1899-12-30T00:00:00"/>
    <s v="Net 45"/>
    <n v="45"/>
    <d v="1900-02-13T00:00:00"/>
    <d v="1900-02-17T00:00:00"/>
    <n v="49"/>
    <x v="0"/>
    <x v="0"/>
    <n v="4"/>
    <s v="Inefficient"/>
  </r>
  <r>
    <s v="PO-00051"/>
    <x v="4"/>
    <d v="2023-07-04T00:00:00"/>
    <d v="2023-07-14T00:00:00"/>
    <s v="Electronics"/>
    <s v="Delivered"/>
    <n v="1007"/>
    <n v="22.56"/>
    <n v="19.59"/>
    <m/>
    <s v="Yes"/>
    <d v="2023-07-14T00:00:00"/>
    <s v="Net 45"/>
    <n v="45"/>
    <d v="2023-08-28T00:00:00"/>
    <d v="2023-08-29T00:00:00"/>
    <n v="46"/>
    <x v="0"/>
    <x v="0"/>
    <n v="1"/>
    <s v="Inefficient"/>
  </r>
  <r>
    <s v="PO-00052"/>
    <x v="1"/>
    <d v="2022-05-08T00:00:00"/>
    <m/>
    <s v="Office Supplies"/>
    <s v="Delivered"/>
    <n v="612"/>
    <n v="20.99"/>
    <n v="19.75"/>
    <n v="102"/>
    <s v="Yes"/>
    <d v="1899-12-30T00:00:00"/>
    <s v="Net 15"/>
    <n v="15"/>
    <d v="1900-01-14T00:00:00"/>
    <d v="1900-01-26T00:00:00"/>
    <n v="27"/>
    <x v="0"/>
    <x v="1"/>
    <n v="12"/>
    <s v="Inefficient"/>
  </r>
  <r>
    <s v="PO-00053"/>
    <x v="0"/>
    <d v="2023-01-23T00:00:00"/>
    <d v="2023-02-02T00:00:00"/>
    <s v="MRO"/>
    <s v="Pending"/>
    <n v="1949"/>
    <n v="72.53"/>
    <n v="63.26"/>
    <n v="48"/>
    <s v="No"/>
    <d v="2023-02-02T00:00:00"/>
    <s v="Net 15"/>
    <n v="15"/>
    <d v="2023-02-17T00:00:00"/>
    <d v="2023-02-22T00:00:00"/>
    <n v="20"/>
    <x v="0"/>
    <x v="1"/>
    <n v="5"/>
    <s v="Inefficient"/>
  </r>
  <r>
    <s v="PO-00054"/>
    <x v="1"/>
    <d v="2022-03-22T00:00:00"/>
    <d v="2022-03-28T00:00:00"/>
    <s v="Office Supplies"/>
    <s v="Cancelled"/>
    <n v="1640"/>
    <n v="77.92"/>
    <n v="76.41"/>
    <n v="262"/>
    <s v="No"/>
    <d v="2022-03-28T00:00:00"/>
    <s v="Net 45"/>
    <n v="45"/>
    <d v="2022-05-12T00:00:00"/>
    <d v="2022-05-08T00:00:00"/>
    <n v="41"/>
    <x v="1"/>
    <x v="0"/>
    <n v="0"/>
    <s v="Efficient"/>
  </r>
  <r>
    <s v="PO-00055"/>
    <x v="3"/>
    <d v="2023-07-20T00:00:00"/>
    <d v="2023-08-07T00:00:00"/>
    <s v="Electronics"/>
    <s v="Delivered"/>
    <n v="1317"/>
    <n v="68.13"/>
    <n v="60.52"/>
    <n v="136"/>
    <s v="Yes"/>
    <d v="2023-08-07T00:00:00"/>
    <s v="Net 15"/>
    <n v="15"/>
    <d v="2023-08-22T00:00:00"/>
    <d v="2023-08-22T00:00:00"/>
    <n v="15"/>
    <x v="1"/>
    <x v="1"/>
    <n v="0"/>
    <s v="Efficient"/>
  </r>
  <r>
    <s v="PO-00056"/>
    <x v="4"/>
    <d v="2022-10-28T00:00:00"/>
    <d v="2022-10-30T00:00:00"/>
    <s v="Raw Materials"/>
    <s v="Delivered"/>
    <n v="881"/>
    <n v="100.94"/>
    <n v="95.05"/>
    <n v="30"/>
    <s v="Yes"/>
    <d v="2022-10-30T00:00:00"/>
    <s v="Net 15"/>
    <n v="15"/>
    <d v="2022-11-14T00:00:00"/>
    <d v="2022-12-02T00:00:00"/>
    <n v="33"/>
    <x v="0"/>
    <x v="0"/>
    <n v="18"/>
    <s v="Inefficient"/>
  </r>
  <r>
    <s v="PO-00057"/>
    <x v="1"/>
    <d v="2023-10-06T00:00:00"/>
    <m/>
    <s v="Packaging"/>
    <s v="Delivered"/>
    <n v="1578"/>
    <n v="48.33"/>
    <n v="42.77"/>
    <n v="206"/>
    <s v="Yes"/>
    <d v="1899-12-30T00:00:00"/>
    <s v="Net 15"/>
    <n v="15"/>
    <d v="1900-01-14T00:00:00"/>
    <d v="1900-01-24T00:00:00"/>
    <n v="25"/>
    <x v="0"/>
    <x v="1"/>
    <n v="10"/>
    <s v="Inefficient"/>
  </r>
  <r>
    <s v="PO-00058"/>
    <x v="1"/>
    <d v="2023-09-26T00:00:00"/>
    <d v="2023-10-01T00:00:00"/>
    <s v="MRO"/>
    <s v="Delivered"/>
    <n v="1204"/>
    <n v="39.29"/>
    <n v="35.44"/>
    <m/>
    <s v="Yes"/>
    <d v="2023-10-01T00:00:00"/>
    <s v="Net 15"/>
    <n v="15"/>
    <d v="2023-10-16T00:00:00"/>
    <d v="2023-10-17T00:00:00"/>
    <n v="16"/>
    <x v="0"/>
    <x v="1"/>
    <n v="1"/>
    <s v="Inefficient"/>
  </r>
  <r>
    <s v="PO-00059"/>
    <x v="4"/>
    <d v="2023-01-06T00:00:00"/>
    <d v="2023-01-22T00:00:00"/>
    <s v="MRO"/>
    <s v="Pending"/>
    <n v="1558"/>
    <n v="93.46"/>
    <n v="91.27"/>
    <n v="39"/>
    <s v="Yes"/>
    <d v="2023-01-22T00:00:00"/>
    <s v="Net 45"/>
    <n v="45"/>
    <d v="2023-03-08T00:00:00"/>
    <d v="2023-03-19T00:00:00"/>
    <n v="56"/>
    <x v="0"/>
    <x v="0"/>
    <n v="11"/>
    <s v="Inefficient"/>
  </r>
  <r>
    <s v="PO-00060"/>
    <x v="0"/>
    <d v="2023-08-15T00:00:00"/>
    <d v="2023-08-16T00:00:00"/>
    <s v="Packaging"/>
    <s v="Delivered"/>
    <n v="1892"/>
    <n v="32.99"/>
    <n v="28.81"/>
    <n v="35"/>
    <s v="Yes"/>
    <d v="2023-08-16T00:00:00"/>
    <s v="Net 45"/>
    <n v="45"/>
    <d v="2023-09-30T00:00:00"/>
    <d v="2023-10-02T00:00:00"/>
    <n v="47"/>
    <x v="0"/>
    <x v="0"/>
    <n v="2"/>
    <s v="Inefficient"/>
  </r>
  <r>
    <s v="PO-00061"/>
    <x v="4"/>
    <d v="2022-07-16T00:00:00"/>
    <d v="2022-08-01T00:00:00"/>
    <s v="Packaging"/>
    <s v="Delivered"/>
    <n v="696"/>
    <n v="99.59"/>
    <n v="90.18"/>
    <n v="25"/>
    <s v="Yes"/>
    <d v="2022-08-01T00:00:00"/>
    <s v="Net 30"/>
    <n v="30"/>
    <d v="2022-08-31T00:00:00"/>
    <d v="2022-09-12T00:00:00"/>
    <n v="42"/>
    <x v="0"/>
    <x v="0"/>
    <n v="12"/>
    <s v="Inefficient"/>
  </r>
  <r>
    <s v="PO-00062"/>
    <x v="1"/>
    <d v="2023-12-23T00:00:00"/>
    <d v="2024-01-03T00:00:00"/>
    <s v="MRO"/>
    <s v="Partially Delivered"/>
    <n v="70"/>
    <n v="12.37"/>
    <n v="11.04"/>
    <n v="10"/>
    <s v="Yes"/>
    <d v="2024-01-03T00:00:00"/>
    <s v="Net 15"/>
    <n v="15"/>
    <d v="2024-01-18T00:00:00"/>
    <d v="2024-01-22T00:00:00"/>
    <n v="19"/>
    <x v="0"/>
    <x v="1"/>
    <n v="4"/>
    <s v="Inefficient"/>
  </r>
  <r>
    <s v="PO-00063"/>
    <x v="2"/>
    <d v="2022-03-13T00:00:00"/>
    <d v="2022-03-15T00:00:00"/>
    <s v="Raw Materials"/>
    <s v="Delivered"/>
    <n v="890"/>
    <n v="98.26"/>
    <n v="93.14"/>
    <n v="49"/>
    <s v="Yes"/>
    <d v="2022-03-15T00:00:00"/>
    <s v="Net 45"/>
    <n v="45"/>
    <d v="2022-04-29T00:00:00"/>
    <d v="2022-05-05T00:00:00"/>
    <n v="51"/>
    <x v="0"/>
    <x v="0"/>
    <n v="6"/>
    <s v="Inefficient"/>
  </r>
  <r>
    <s v="PO-00064"/>
    <x v="0"/>
    <d v="2022-02-16T00:00:00"/>
    <d v="2022-03-04T00:00:00"/>
    <s v="MRO"/>
    <s v="Delivered"/>
    <n v="216"/>
    <n v="13.95"/>
    <n v="12.31"/>
    <n v="5"/>
    <s v="Yes"/>
    <d v="2022-03-04T00:00:00"/>
    <s v="Net 15"/>
    <n v="15"/>
    <d v="2022-03-19T00:00:00"/>
    <d v="2022-03-14T00:00:00"/>
    <n v="10"/>
    <x v="1"/>
    <x v="1"/>
    <n v="0"/>
    <s v="Efficient"/>
  </r>
  <r>
    <s v="PO-00065"/>
    <x v="1"/>
    <d v="2023-11-09T00:00:00"/>
    <d v="2023-11-12T00:00:00"/>
    <s v="Packaging"/>
    <s v="Delivered"/>
    <n v="1347"/>
    <n v="100.13"/>
    <n v="94.3"/>
    <n v="200"/>
    <s v="Yes"/>
    <d v="2023-11-12T00:00:00"/>
    <s v="Net 30"/>
    <n v="30"/>
    <d v="2023-12-12T00:00:00"/>
    <d v="2023-12-28T00:00:00"/>
    <n v="46"/>
    <x v="0"/>
    <x v="0"/>
    <n v="16"/>
    <s v="Inefficient"/>
  </r>
  <r>
    <s v="PO-00066"/>
    <x v="2"/>
    <d v="2022-08-22T00:00:00"/>
    <d v="2022-08-25T00:00:00"/>
    <s v="Office Supplies"/>
    <s v="Partially Delivered"/>
    <n v="437"/>
    <n v="59.51"/>
    <n v="56.45"/>
    <n v="25"/>
    <s v="No"/>
    <d v="2022-08-25T00:00:00"/>
    <s v="Net 30"/>
    <n v="30"/>
    <d v="2022-09-24T00:00:00"/>
    <d v="2022-10-02T00:00:00"/>
    <n v="38"/>
    <x v="0"/>
    <x v="0"/>
    <n v="8"/>
    <s v="Inefficient"/>
  </r>
  <r>
    <s v="PO-00067"/>
    <x v="0"/>
    <d v="2022-10-24T00:00:00"/>
    <d v="2022-10-26T00:00:00"/>
    <s v="Electronics"/>
    <s v="Delivered"/>
    <n v="650"/>
    <n v="103.84"/>
    <n v="88.28"/>
    <n v="12"/>
    <s v="Yes"/>
    <d v="2022-10-26T00:00:00"/>
    <s v="Net 30"/>
    <n v="30"/>
    <d v="2022-11-25T00:00:00"/>
    <d v="2022-11-20T00:00:00"/>
    <n v="25"/>
    <x v="1"/>
    <x v="1"/>
    <n v="0"/>
    <s v="Efficient"/>
  </r>
  <r>
    <s v="PO-00068"/>
    <x v="3"/>
    <d v="2022-03-23T00:00:00"/>
    <d v="2022-04-11T00:00:00"/>
    <s v="Office Supplies"/>
    <s v="Delivered"/>
    <n v="365"/>
    <n v="16.809999999999999"/>
    <n v="15.41"/>
    <n v="38"/>
    <s v="Yes"/>
    <d v="2022-04-11T00:00:00"/>
    <s v="Net 30"/>
    <n v="30"/>
    <d v="2022-05-11T00:00:00"/>
    <d v="2022-05-25T00:00:00"/>
    <n v="44"/>
    <x v="0"/>
    <x v="0"/>
    <n v="14"/>
    <s v="Inefficient"/>
  </r>
  <r>
    <s v="PO-00069"/>
    <x v="4"/>
    <d v="2022-08-27T00:00:00"/>
    <m/>
    <s v="Raw Materials"/>
    <s v="Cancelled"/>
    <n v="63"/>
    <n v="61.94"/>
    <n v="53.8"/>
    <m/>
    <s v="Yes"/>
    <d v="1899-12-30T00:00:00"/>
    <s v="Net 15"/>
    <n v="15"/>
    <d v="1900-01-14T00:00:00"/>
    <d v="1900-02-03T00:00:00"/>
    <n v="35"/>
    <x v="0"/>
    <x v="0"/>
    <n v="20"/>
    <s v="Inefficient"/>
  </r>
  <r>
    <s v="PO-00070"/>
    <x v="0"/>
    <d v="2022-04-14T00:00:00"/>
    <d v="2022-04-22T00:00:00"/>
    <s v="MRO"/>
    <s v="Delivered"/>
    <n v="291"/>
    <n v="98.7"/>
    <n v="87.02"/>
    <n v="9"/>
    <s v="Yes"/>
    <d v="2022-04-22T00:00:00"/>
    <s v="Net 15"/>
    <n v="15"/>
    <d v="2022-05-07T00:00:00"/>
    <d v="2022-05-04T00:00:00"/>
    <n v="12"/>
    <x v="1"/>
    <x v="1"/>
    <n v="0"/>
    <s v="Efficient"/>
  </r>
  <r>
    <s v="PO-00071"/>
    <x v="0"/>
    <d v="2023-01-25T00:00:00"/>
    <d v="2023-02-08T00:00:00"/>
    <s v="MRO"/>
    <s v="Cancelled"/>
    <n v="826"/>
    <n v="60.5"/>
    <n v="57.18"/>
    <n v="18"/>
    <s v="Yes"/>
    <d v="2023-02-08T00:00:00"/>
    <s v="Net 30"/>
    <n v="30"/>
    <d v="2023-03-10T00:00:00"/>
    <d v="2023-03-19T00:00:00"/>
    <n v="39"/>
    <x v="0"/>
    <x v="0"/>
    <n v="9"/>
    <s v="Inefficient"/>
  </r>
  <r>
    <s v="PO-00072"/>
    <x v="1"/>
    <d v="2022-10-12T00:00:00"/>
    <d v="2022-11-01T00:00:00"/>
    <s v="Electronics"/>
    <s v="Pending"/>
    <n v="1419"/>
    <n v="69.64"/>
    <n v="59.28"/>
    <n v="194"/>
    <s v="Yes"/>
    <d v="2022-11-01T00:00:00"/>
    <s v="Net 15"/>
    <n v="15"/>
    <d v="2022-11-16T00:00:00"/>
    <d v="2022-12-02T00:00:00"/>
    <n v="31"/>
    <x v="0"/>
    <x v="0"/>
    <n v="16"/>
    <s v="Inefficient"/>
  </r>
  <r>
    <s v="PO-00073"/>
    <x v="2"/>
    <d v="2023-04-10T00:00:00"/>
    <d v="2023-04-27T00:00:00"/>
    <s v="Office Supplies"/>
    <s v="Delivered"/>
    <n v="614"/>
    <n v="78.06"/>
    <n v="73.95"/>
    <n v="40"/>
    <s v="Yes"/>
    <d v="2023-04-27T00:00:00"/>
    <s v="Net 15"/>
    <n v="15"/>
    <d v="2023-05-12T00:00:00"/>
    <d v="2023-05-10T00:00:00"/>
    <n v="13"/>
    <x v="1"/>
    <x v="1"/>
    <n v="0"/>
    <s v="Efficient"/>
  </r>
  <r>
    <s v="PO-00074"/>
    <x v="0"/>
    <d v="2023-10-13T00:00:00"/>
    <d v="2023-10-28T00:00:00"/>
    <s v="Electronics"/>
    <s v="Delivered"/>
    <n v="947"/>
    <n v="56.25"/>
    <n v="54.25"/>
    <n v="19"/>
    <s v="Yes"/>
    <d v="2023-10-28T00:00:00"/>
    <s v="Net 30"/>
    <n v="30"/>
    <d v="2023-11-27T00:00:00"/>
    <d v="2023-12-16T00:00:00"/>
    <n v="49"/>
    <x v="0"/>
    <x v="0"/>
    <n v="19"/>
    <s v="Inefficient"/>
  </r>
  <r>
    <s v="PO-00075"/>
    <x v="4"/>
    <d v="2023-01-09T00:00:00"/>
    <d v="2023-01-28T00:00:00"/>
    <s v="Raw Materials"/>
    <s v="Delivered"/>
    <n v="1413"/>
    <n v="70.47"/>
    <n v="69.650000000000006"/>
    <m/>
    <s v="Yes"/>
    <d v="2023-01-28T00:00:00"/>
    <s v="Net 45"/>
    <n v="45"/>
    <d v="2023-03-14T00:00:00"/>
    <d v="2023-03-21T00:00:00"/>
    <n v="52"/>
    <x v="0"/>
    <x v="0"/>
    <n v="7"/>
    <s v="Inefficient"/>
  </r>
  <r>
    <s v="PO-00076"/>
    <x v="0"/>
    <d v="2022-06-16T00:00:00"/>
    <m/>
    <s v="Office Supplies"/>
    <s v="Partially Delivered"/>
    <n v="141"/>
    <n v="64.150000000000006"/>
    <n v="58.32"/>
    <m/>
    <s v="Yes"/>
    <d v="1899-12-30T00:00:00"/>
    <s v="Net 15"/>
    <n v="15"/>
    <d v="1900-01-14T00:00:00"/>
    <d v="1900-02-01T00:00:00"/>
    <n v="33"/>
    <x v="0"/>
    <x v="0"/>
    <n v="18"/>
    <s v="Inefficient"/>
  </r>
  <r>
    <s v="PO-00077"/>
    <x v="0"/>
    <d v="2023-01-15T00:00:00"/>
    <d v="2023-02-04T00:00:00"/>
    <s v="Office Supplies"/>
    <s v="Delivered"/>
    <n v="1440"/>
    <n v="96.57"/>
    <n v="83.87"/>
    <n v="36"/>
    <s v="Yes"/>
    <d v="2023-02-04T00:00:00"/>
    <s v="Net 30"/>
    <n v="30"/>
    <d v="2023-03-06T00:00:00"/>
    <d v="2023-03-14T00:00:00"/>
    <n v="38"/>
    <x v="0"/>
    <x v="0"/>
    <n v="8"/>
    <s v="Inefficient"/>
  </r>
  <r>
    <s v="PO-00078"/>
    <x v="1"/>
    <d v="2022-12-30T00:00:00"/>
    <d v="2023-01-03T00:00:00"/>
    <s v="Raw Materials"/>
    <s v="Delivered"/>
    <n v="1005"/>
    <n v="14.87"/>
    <n v="12.79"/>
    <m/>
    <s v="No"/>
    <d v="2023-01-03T00:00:00"/>
    <s v="Net 30"/>
    <n v="30"/>
    <d v="2023-02-02T00:00:00"/>
    <d v="2023-02-14T00:00:00"/>
    <n v="42"/>
    <x v="0"/>
    <x v="0"/>
    <n v="12"/>
    <s v="Inefficient"/>
  </r>
  <r>
    <s v="PO-00079"/>
    <x v="0"/>
    <d v="2022-08-03T00:00:00"/>
    <m/>
    <s v="MRO"/>
    <s v="Delivered"/>
    <n v="1528"/>
    <n v="36.520000000000003"/>
    <n v="33"/>
    <n v="31"/>
    <s v="No"/>
    <d v="1899-12-30T00:00:00"/>
    <s v="Net 15"/>
    <n v="15"/>
    <d v="1900-01-14T00:00:00"/>
    <d v="1900-01-17T00:00:00"/>
    <n v="18"/>
    <x v="0"/>
    <x v="1"/>
    <n v="3"/>
    <s v="Inefficient"/>
  </r>
  <r>
    <s v="PO-00080"/>
    <x v="2"/>
    <d v="2023-11-18T00:00:00"/>
    <d v="2023-11-25T00:00:00"/>
    <s v="MRO"/>
    <s v="Delivered"/>
    <n v="1501"/>
    <n v="106.05"/>
    <n v="100.99"/>
    <n v="77"/>
    <s v="No"/>
    <d v="2023-11-25T00:00:00"/>
    <s v="Net 45"/>
    <n v="45"/>
    <d v="2024-01-09T00:00:00"/>
    <d v="2024-01-21T00:00:00"/>
    <n v="57"/>
    <x v="0"/>
    <x v="0"/>
    <n v="12"/>
    <s v="Inefficient"/>
  </r>
  <r>
    <s v="PO-00081"/>
    <x v="1"/>
    <d v="2022-10-01T00:00:00"/>
    <d v="2022-10-04T00:00:00"/>
    <s v="Packaging"/>
    <s v="Delivered"/>
    <n v="558"/>
    <n v="94.18"/>
    <n v="81.400000000000006"/>
    <m/>
    <s v="No"/>
    <d v="2022-10-04T00:00:00"/>
    <s v="Net 30"/>
    <n v="30"/>
    <d v="2022-11-03T00:00:00"/>
    <d v="2022-11-06T00:00:00"/>
    <n v="33"/>
    <x v="0"/>
    <x v="0"/>
    <n v="3"/>
    <s v="Inefficient"/>
  </r>
  <r>
    <s v="PO-00082"/>
    <x v="3"/>
    <d v="2023-12-20T00:00:00"/>
    <d v="2023-12-26T00:00:00"/>
    <s v="MRO"/>
    <s v="Delivered"/>
    <n v="825"/>
    <n v="56.88"/>
    <n v="50.84"/>
    <m/>
    <s v="Yes"/>
    <d v="2023-12-26T00:00:00"/>
    <s v="Net 15"/>
    <n v="15"/>
    <d v="2024-01-10T00:00:00"/>
    <d v="2024-01-07T00:00:00"/>
    <n v="12"/>
    <x v="1"/>
    <x v="1"/>
    <n v="0"/>
    <s v="Efficient"/>
  </r>
  <r>
    <s v="PO-00083"/>
    <x v="3"/>
    <d v="2023-12-01T00:00:00"/>
    <d v="2023-12-07T00:00:00"/>
    <s v="Electronics"/>
    <s v="Cancelled"/>
    <n v="84"/>
    <n v="73.38"/>
    <n v="71.42"/>
    <n v="9"/>
    <s v="Yes"/>
    <d v="2023-12-07T00:00:00"/>
    <s v="Net 30"/>
    <n v="30"/>
    <d v="2024-01-06T00:00:00"/>
    <d v="2024-01-13T00:00:00"/>
    <n v="37"/>
    <x v="0"/>
    <x v="0"/>
    <n v="7"/>
    <s v="Inefficient"/>
  </r>
  <r>
    <s v="PO-00084"/>
    <x v="1"/>
    <d v="2023-10-26T00:00:00"/>
    <d v="2023-11-10T00:00:00"/>
    <s v="Raw Materials"/>
    <s v="Delivered"/>
    <n v="255"/>
    <n v="38.64"/>
    <n v="33.590000000000003"/>
    <n v="27"/>
    <s v="No"/>
    <d v="2023-11-10T00:00:00"/>
    <s v="Net 30"/>
    <n v="30"/>
    <d v="2023-12-10T00:00:00"/>
    <d v="2023-12-22T00:00:00"/>
    <n v="42"/>
    <x v="0"/>
    <x v="0"/>
    <n v="12"/>
    <s v="Inefficient"/>
  </r>
  <r>
    <s v="PO-00085"/>
    <x v="2"/>
    <d v="2022-03-15T00:00:00"/>
    <d v="2022-03-31T00:00:00"/>
    <s v="MRO"/>
    <s v="Delivered"/>
    <n v="1154"/>
    <n v="27.2"/>
    <n v="26.07"/>
    <n v="58"/>
    <s v="Yes"/>
    <d v="2022-03-31T00:00:00"/>
    <s v="Net 45"/>
    <n v="45"/>
    <d v="2022-05-15T00:00:00"/>
    <d v="2022-05-21T00:00:00"/>
    <n v="51"/>
    <x v="0"/>
    <x v="0"/>
    <n v="6"/>
    <s v="Inefficient"/>
  </r>
  <r>
    <s v="PO-00086"/>
    <x v="1"/>
    <d v="2023-09-16T00:00:00"/>
    <d v="2023-09-24T00:00:00"/>
    <s v="Office Supplies"/>
    <s v="Delivered"/>
    <n v="1635"/>
    <n v="56.91"/>
    <n v="54.37"/>
    <n v="262"/>
    <s v="No"/>
    <d v="2023-09-24T00:00:00"/>
    <s v="Net 15"/>
    <n v="15"/>
    <d v="2023-10-09T00:00:00"/>
    <d v="2023-10-29T00:00:00"/>
    <n v="35"/>
    <x v="0"/>
    <x v="0"/>
    <n v="20"/>
    <s v="Inefficient"/>
  </r>
  <r>
    <s v="PO-00087"/>
    <x v="1"/>
    <d v="2023-10-13T00:00:00"/>
    <d v="2023-10-23T00:00:00"/>
    <s v="Raw Materials"/>
    <s v="Delivered"/>
    <n v="1945"/>
    <n v="46.19"/>
    <n v="40.119999999999997"/>
    <n v="278"/>
    <s v="No"/>
    <d v="2023-10-23T00:00:00"/>
    <s v="Net 15"/>
    <n v="15"/>
    <d v="2023-11-07T00:00:00"/>
    <d v="2023-11-11T00:00:00"/>
    <n v="19"/>
    <x v="0"/>
    <x v="1"/>
    <n v="4"/>
    <s v="Inefficient"/>
  </r>
  <r>
    <s v="PO-00088"/>
    <x v="1"/>
    <d v="2022-06-25T00:00:00"/>
    <d v="2022-07-10T00:00:00"/>
    <s v="MRO"/>
    <s v="Partially Delivered"/>
    <n v="1461"/>
    <n v="64.09"/>
    <n v="63.39"/>
    <n v="228"/>
    <s v="No"/>
    <d v="2022-07-10T00:00:00"/>
    <s v="Net 15"/>
    <n v="15"/>
    <d v="2022-07-25T00:00:00"/>
    <d v="2022-08-14T00:00:00"/>
    <n v="35"/>
    <x v="0"/>
    <x v="0"/>
    <n v="20"/>
    <s v="Inefficient"/>
  </r>
  <r>
    <s v="PO-00089"/>
    <x v="1"/>
    <d v="2023-07-01T00:00:00"/>
    <d v="2023-07-09T00:00:00"/>
    <s v="Electronics"/>
    <s v="Delivered"/>
    <n v="1075"/>
    <n v="18.53"/>
    <n v="16.12"/>
    <n v="147"/>
    <s v="Yes"/>
    <d v="2023-07-09T00:00:00"/>
    <s v="Net 30"/>
    <n v="30"/>
    <d v="2023-08-08T00:00:00"/>
    <d v="2023-08-20T00:00:00"/>
    <n v="42"/>
    <x v="0"/>
    <x v="0"/>
    <n v="12"/>
    <s v="Inefficient"/>
  </r>
  <r>
    <s v="PO-00090"/>
    <x v="0"/>
    <d v="2022-09-08T00:00:00"/>
    <m/>
    <s v="Packaging"/>
    <s v="Delivered"/>
    <n v="1071"/>
    <n v="101.6"/>
    <n v="93.91"/>
    <n v="25"/>
    <s v="Yes"/>
    <d v="1899-12-30T00:00:00"/>
    <s v="Net 15"/>
    <n v="15"/>
    <d v="1900-01-14T00:00:00"/>
    <d v="1900-01-28T00:00:00"/>
    <n v="29"/>
    <x v="0"/>
    <x v="1"/>
    <n v="14"/>
    <s v="Inefficient"/>
  </r>
  <r>
    <s v="PO-00091"/>
    <x v="4"/>
    <d v="2022-06-17T00:00:00"/>
    <d v="2022-07-06T00:00:00"/>
    <s v="Packaging"/>
    <s v="Pending"/>
    <n v="1463"/>
    <n v="101.23"/>
    <n v="86.17"/>
    <n v="43"/>
    <s v="Yes"/>
    <d v="2022-07-06T00:00:00"/>
    <s v="Net 45"/>
    <n v="45"/>
    <d v="2022-08-20T00:00:00"/>
    <d v="2022-08-27T00:00:00"/>
    <n v="52"/>
    <x v="0"/>
    <x v="0"/>
    <n v="7"/>
    <s v="Inefficient"/>
  </r>
  <r>
    <s v="PO-00092"/>
    <x v="3"/>
    <d v="2023-04-19T00:00:00"/>
    <d v="2023-04-26T00:00:00"/>
    <s v="Raw Materials"/>
    <s v="Delivered"/>
    <n v="615"/>
    <n v="78.3"/>
    <n v="73.680000000000007"/>
    <n v="69"/>
    <s v="Yes"/>
    <d v="2023-04-26T00:00:00"/>
    <s v="Net 30"/>
    <n v="30"/>
    <d v="2023-05-26T00:00:00"/>
    <d v="2023-05-28T00:00:00"/>
    <n v="32"/>
    <x v="0"/>
    <x v="0"/>
    <n v="2"/>
    <s v="Inefficient"/>
  </r>
  <r>
    <s v="PO-00093"/>
    <x v="2"/>
    <d v="2023-01-24T00:00:00"/>
    <d v="2023-02-11T00:00:00"/>
    <s v="Electronics"/>
    <s v="Delivered"/>
    <n v="1179"/>
    <n v="61.74"/>
    <n v="56.28"/>
    <m/>
    <s v="Yes"/>
    <d v="2023-02-11T00:00:00"/>
    <s v="Net 30"/>
    <n v="30"/>
    <d v="2023-03-13T00:00:00"/>
    <d v="2023-03-18T00:00:00"/>
    <n v="35"/>
    <x v="0"/>
    <x v="0"/>
    <n v="5"/>
    <s v="Inefficient"/>
  </r>
  <r>
    <s v="PO-00094"/>
    <x v="0"/>
    <d v="2022-10-04T00:00:00"/>
    <d v="2022-10-09T00:00:00"/>
    <s v="Electronics"/>
    <s v="Partially Delivered"/>
    <n v="1845"/>
    <n v="39.56"/>
    <n v="37.630000000000003"/>
    <n v="45"/>
    <s v="Yes"/>
    <d v="2022-10-09T00:00:00"/>
    <s v="Net 15"/>
    <n v="15"/>
    <d v="2022-10-24T00:00:00"/>
    <d v="2022-11-02T00:00:00"/>
    <n v="24"/>
    <x v="0"/>
    <x v="1"/>
    <n v="9"/>
    <s v="Inefficient"/>
  </r>
  <r>
    <s v="PO-00095"/>
    <x v="3"/>
    <d v="2023-10-18T00:00:00"/>
    <m/>
    <s v="Electronics"/>
    <s v="Cancelled"/>
    <n v="1895"/>
    <n v="91.98"/>
    <n v="86.27"/>
    <n v="170"/>
    <s v="Yes"/>
    <d v="1899-12-30T00:00:00"/>
    <s v="Net 15"/>
    <n v="15"/>
    <d v="1900-01-14T00:00:00"/>
    <d v="1900-02-03T00:00:00"/>
    <n v="35"/>
    <x v="0"/>
    <x v="0"/>
    <n v="20"/>
    <s v="Inefficient"/>
  </r>
  <r>
    <s v="PO-00096"/>
    <x v="4"/>
    <d v="2023-12-06T00:00:00"/>
    <d v="2023-12-09T00:00:00"/>
    <s v="MRO"/>
    <s v="Partially Delivered"/>
    <n v="1550"/>
    <n v="79.86"/>
    <n v="69.569999999999993"/>
    <n v="32"/>
    <s v="No"/>
    <d v="2023-12-09T00:00:00"/>
    <s v="Net 15"/>
    <n v="15"/>
    <d v="2023-12-24T00:00:00"/>
    <d v="2023-12-27T00:00:00"/>
    <n v="18"/>
    <x v="0"/>
    <x v="1"/>
    <n v="3"/>
    <s v="Inefficient"/>
  </r>
  <r>
    <s v="PO-00097"/>
    <x v="1"/>
    <d v="2023-07-25T00:00:00"/>
    <d v="2023-08-04T00:00:00"/>
    <s v="Packaging"/>
    <s v="Delivered"/>
    <n v="752"/>
    <n v="26.85"/>
    <n v="24.37"/>
    <m/>
    <s v="No"/>
    <d v="2023-08-04T00:00:00"/>
    <s v="Net 15"/>
    <n v="15"/>
    <d v="2023-08-19T00:00:00"/>
    <d v="2023-08-21T00:00:00"/>
    <n v="17"/>
    <x v="0"/>
    <x v="1"/>
    <n v="2"/>
    <s v="Inefficient"/>
  </r>
  <r>
    <s v="PO-00098"/>
    <x v="4"/>
    <d v="2022-08-13T00:00:00"/>
    <d v="2022-09-01T00:00:00"/>
    <s v="Electronics"/>
    <s v="Delivered"/>
    <n v="451"/>
    <n v="95.2"/>
    <n v="90.07"/>
    <n v="21"/>
    <s v="Yes"/>
    <d v="2022-09-01T00:00:00"/>
    <s v="Net 45"/>
    <n v="45"/>
    <d v="2022-10-16T00:00:00"/>
    <d v="2022-10-21T00:00:00"/>
    <n v="50"/>
    <x v="0"/>
    <x v="0"/>
    <n v="5"/>
    <s v="Inefficient"/>
  </r>
  <r>
    <s v="PO-00099"/>
    <x v="3"/>
    <d v="2023-12-03T00:00:00"/>
    <m/>
    <s v="Office Supplies"/>
    <s v="Delivered"/>
    <n v="779"/>
    <n v="93.69"/>
    <n v="90.92"/>
    <n v="66"/>
    <s v="Yes"/>
    <d v="1899-12-30T00:00:00"/>
    <s v="Net 15"/>
    <n v="15"/>
    <d v="1900-01-14T00:00:00"/>
    <d v="1900-01-18T00:00:00"/>
    <n v="19"/>
    <x v="0"/>
    <x v="1"/>
    <n v="4"/>
    <s v="Inefficient"/>
  </r>
  <r>
    <s v="PO-00100"/>
    <x v="3"/>
    <d v="2022-11-29T00:00:00"/>
    <d v="2022-12-14T00:00:00"/>
    <s v="MRO"/>
    <s v="Pending"/>
    <n v="1629"/>
    <n v="100.26"/>
    <n v="86.44"/>
    <n v="187"/>
    <s v="No"/>
    <d v="2022-12-14T00:00:00"/>
    <s v="Net 45"/>
    <n v="45"/>
    <d v="2023-01-28T00:00:00"/>
    <d v="2023-02-02T00:00:00"/>
    <n v="50"/>
    <x v="0"/>
    <x v="0"/>
    <n v="5"/>
    <s v="Inefficient"/>
  </r>
  <r>
    <s v="PO-00101"/>
    <x v="0"/>
    <d v="2022-02-27T00:00:00"/>
    <d v="2022-02-22T00:00:00"/>
    <s v="Office Supplies"/>
    <s v="Delivered"/>
    <n v="211"/>
    <n v="75.69"/>
    <n v="65.400000000000006"/>
    <n v="2"/>
    <s v="Yes"/>
    <d v="2022-02-22T00:00:00"/>
    <s v="Net 15"/>
    <n v="15"/>
    <d v="2022-03-09T00:00:00"/>
    <d v="2022-03-04T00:00:00"/>
    <n v="10"/>
    <x v="1"/>
    <x v="1"/>
    <n v="0"/>
    <s v="Efficient"/>
  </r>
  <r>
    <s v="PO-00102"/>
    <x v="0"/>
    <d v="2022-08-23T00:00:00"/>
    <m/>
    <s v="Office Supplies"/>
    <s v="Delivered"/>
    <n v="251"/>
    <n v="67.489999999999995"/>
    <n v="64.48"/>
    <n v="2"/>
    <s v="Yes"/>
    <d v="1899-12-30T00:00:00"/>
    <s v="Net 45"/>
    <n v="45"/>
    <d v="1900-02-13T00:00:00"/>
    <d v="1900-02-26T00:00:00"/>
    <n v="58"/>
    <x v="0"/>
    <x v="0"/>
    <n v="13"/>
    <s v="Inefficient"/>
  </r>
  <r>
    <s v="PO-00103"/>
    <x v="2"/>
    <d v="2022-02-02T00:00:00"/>
    <d v="2022-02-18T00:00:00"/>
    <s v="Raw Materials"/>
    <s v="Delivered"/>
    <n v="1045"/>
    <n v="47.88"/>
    <n v="44.65"/>
    <n v="69"/>
    <s v="Yes"/>
    <d v="2022-02-18T00:00:00"/>
    <s v="Net 45"/>
    <n v="45"/>
    <d v="2022-04-04T00:00:00"/>
    <d v="2022-04-11T00:00:00"/>
    <n v="52"/>
    <x v="0"/>
    <x v="0"/>
    <n v="7"/>
    <s v="Inefficient"/>
  </r>
  <r>
    <s v="PO-00104"/>
    <x v="1"/>
    <d v="2022-11-20T00:00:00"/>
    <d v="2022-12-10T00:00:00"/>
    <s v="MRO"/>
    <s v="Delivered"/>
    <n v="319"/>
    <n v="98.64"/>
    <n v="89.15"/>
    <n v="57"/>
    <s v="Yes"/>
    <d v="2022-12-10T00:00:00"/>
    <s v="Net 30"/>
    <n v="30"/>
    <d v="2023-01-09T00:00:00"/>
    <d v="2023-01-19T00:00:00"/>
    <n v="40"/>
    <x v="0"/>
    <x v="0"/>
    <n v="10"/>
    <s v="Inefficient"/>
  </r>
  <r>
    <s v="PO-00105"/>
    <x v="4"/>
    <d v="2023-02-15T00:00:00"/>
    <d v="2023-03-01T00:00:00"/>
    <s v="Office Supplies"/>
    <s v="Partially Delivered"/>
    <n v="1936"/>
    <n v="93.66"/>
    <n v="92.24"/>
    <n v="58"/>
    <s v="Yes"/>
    <d v="2023-03-01T00:00:00"/>
    <s v="Net 15"/>
    <n v="15"/>
    <d v="2023-03-16T00:00:00"/>
    <d v="2023-03-30T00:00:00"/>
    <n v="29"/>
    <x v="0"/>
    <x v="1"/>
    <n v="14"/>
    <s v="Inefficient"/>
  </r>
  <r>
    <s v="PO-00106"/>
    <x v="1"/>
    <d v="2022-10-02T00:00:00"/>
    <d v="2022-10-22T00:00:00"/>
    <s v="MRO"/>
    <s v="Cancelled"/>
    <n v="865"/>
    <n v="14.7"/>
    <n v="13.14"/>
    <n v="135"/>
    <s v="No"/>
    <d v="2022-10-22T00:00:00"/>
    <s v="Net 30"/>
    <n v="30"/>
    <d v="2022-11-21T00:00:00"/>
    <d v="2022-12-04T00:00:00"/>
    <n v="43"/>
    <x v="0"/>
    <x v="0"/>
    <n v="13"/>
    <s v="Inefficient"/>
  </r>
  <r>
    <s v="PO-00107"/>
    <x v="4"/>
    <d v="2022-03-09T00:00:00"/>
    <d v="2022-03-12T00:00:00"/>
    <s v="Electronics"/>
    <s v="Delivered"/>
    <n v="1344"/>
    <n v="12.5"/>
    <n v="10.87"/>
    <n v="44"/>
    <s v="Yes"/>
    <d v="2022-03-12T00:00:00"/>
    <s v="Net 15"/>
    <n v="15"/>
    <d v="2022-03-27T00:00:00"/>
    <d v="2022-04-02T00:00:00"/>
    <n v="21"/>
    <x v="0"/>
    <x v="1"/>
    <n v="6"/>
    <s v="Inefficient"/>
  </r>
  <r>
    <s v="PO-00108"/>
    <x v="1"/>
    <d v="2022-08-05T00:00:00"/>
    <d v="2022-08-24T00:00:00"/>
    <s v="Raw Materials"/>
    <s v="Pending"/>
    <n v="505"/>
    <n v="45.42"/>
    <n v="40.369999999999997"/>
    <n v="62"/>
    <s v="Yes"/>
    <d v="2022-08-24T00:00:00"/>
    <s v="Net 15"/>
    <n v="15"/>
    <d v="2022-09-08T00:00:00"/>
    <d v="2022-09-06T00:00:00"/>
    <n v="13"/>
    <x v="1"/>
    <x v="1"/>
    <n v="0"/>
    <s v="Efficient"/>
  </r>
  <r>
    <s v="PO-00109"/>
    <x v="3"/>
    <d v="2023-08-04T00:00:00"/>
    <d v="2023-08-05T00:00:00"/>
    <s v="Packaging"/>
    <s v="Delivered"/>
    <n v="1535"/>
    <n v="90.83"/>
    <n v="78.28"/>
    <n v="151"/>
    <s v="No"/>
    <d v="2023-08-05T00:00:00"/>
    <s v="Net 45"/>
    <n v="45"/>
    <d v="2023-09-19T00:00:00"/>
    <d v="2023-09-16T00:00:00"/>
    <n v="42"/>
    <x v="1"/>
    <x v="0"/>
    <n v="0"/>
    <s v="Efficient"/>
  </r>
  <r>
    <s v="PO-00110"/>
    <x v="3"/>
    <d v="2022-11-19T00:00:00"/>
    <m/>
    <s v="Office Supplies"/>
    <s v="Delivered"/>
    <n v="1800"/>
    <n v="103.8"/>
    <n v="96.27"/>
    <n v="166"/>
    <s v="Yes"/>
    <d v="1899-12-30T00:00:00"/>
    <s v="Net 45"/>
    <n v="45"/>
    <d v="1900-02-13T00:00:00"/>
    <d v="1900-02-25T00:00:00"/>
    <n v="57"/>
    <x v="0"/>
    <x v="0"/>
    <n v="12"/>
    <s v="Inefficient"/>
  </r>
  <r>
    <s v="PO-00111"/>
    <x v="1"/>
    <d v="2022-08-06T00:00:00"/>
    <d v="2022-08-15T00:00:00"/>
    <s v="Raw Materials"/>
    <s v="Pending"/>
    <n v="1325"/>
    <n v="24.36"/>
    <n v="22.75"/>
    <n v="206"/>
    <s v="Yes"/>
    <d v="2022-08-15T00:00:00"/>
    <s v="Net 45"/>
    <n v="45"/>
    <d v="2022-09-29T00:00:00"/>
    <d v="2022-10-04T00:00:00"/>
    <n v="50"/>
    <x v="0"/>
    <x v="0"/>
    <n v="5"/>
    <s v="Inefficient"/>
  </r>
  <r>
    <s v="PO-00112"/>
    <x v="2"/>
    <d v="2023-11-03T00:00:00"/>
    <d v="2023-11-09T00:00:00"/>
    <s v="Raw Materials"/>
    <s v="Delivered"/>
    <n v="1066"/>
    <n v="70.45"/>
    <n v="65.88"/>
    <n v="56"/>
    <s v="No"/>
    <d v="2023-11-09T00:00:00"/>
    <s v="Net 30"/>
    <n v="30"/>
    <d v="2023-12-09T00:00:00"/>
    <d v="2023-12-13T00:00:00"/>
    <n v="34"/>
    <x v="0"/>
    <x v="0"/>
    <n v="4"/>
    <s v="Inefficient"/>
  </r>
  <r>
    <s v="PO-00113"/>
    <x v="3"/>
    <d v="2023-05-27T00:00:00"/>
    <d v="2023-06-11T00:00:00"/>
    <s v="Raw Materials"/>
    <s v="Delivered"/>
    <n v="1775"/>
    <n v="47.82"/>
    <n v="45.86"/>
    <n v="180"/>
    <s v="Yes"/>
    <d v="2023-06-11T00:00:00"/>
    <s v="Net 15"/>
    <n v="15"/>
    <d v="2023-06-26T00:00:00"/>
    <d v="2023-06-30T00:00:00"/>
    <n v="19"/>
    <x v="0"/>
    <x v="1"/>
    <n v="4"/>
    <s v="Inefficient"/>
  </r>
  <r>
    <s v="PO-00114"/>
    <x v="2"/>
    <d v="2023-02-10T00:00:00"/>
    <m/>
    <s v="Raw Materials"/>
    <s v="Partially Delivered"/>
    <n v="345"/>
    <n v="103.62"/>
    <n v="98.09"/>
    <n v="25"/>
    <s v="No"/>
    <d v="1899-12-30T00:00:00"/>
    <s v="Net 45"/>
    <n v="45"/>
    <d v="1900-02-13T00:00:00"/>
    <d v="1900-02-14T00:00:00"/>
    <n v="46"/>
    <x v="0"/>
    <x v="0"/>
    <n v="1"/>
    <s v="Inefficient"/>
  </r>
  <r>
    <s v="PO-00115"/>
    <x v="3"/>
    <d v="2023-10-21T00:00:00"/>
    <d v="2023-11-09T00:00:00"/>
    <s v="Electronics"/>
    <s v="Delivered"/>
    <n v="1798"/>
    <n v="94.8"/>
    <n v="91.83"/>
    <m/>
    <s v="Yes"/>
    <d v="2023-11-09T00:00:00"/>
    <s v="Net 30"/>
    <n v="30"/>
    <d v="2023-12-09T00:00:00"/>
    <d v="2023-12-21T00:00:00"/>
    <n v="42"/>
    <x v="0"/>
    <x v="0"/>
    <n v="12"/>
    <s v="Inefficient"/>
  </r>
  <r>
    <s v="PO-00116"/>
    <x v="0"/>
    <d v="2023-04-15T00:00:00"/>
    <d v="2023-05-01T00:00:00"/>
    <s v="MRO"/>
    <s v="Delivered"/>
    <n v="769"/>
    <n v="91.86"/>
    <n v="86.55"/>
    <n v="17"/>
    <s v="Yes"/>
    <d v="2023-05-01T00:00:00"/>
    <s v="Net 45"/>
    <n v="45"/>
    <d v="2023-06-15T00:00:00"/>
    <d v="2023-07-05T00:00:00"/>
    <n v="65"/>
    <x v="0"/>
    <x v="2"/>
    <n v="20"/>
    <s v="Inefficient"/>
  </r>
  <r>
    <s v="PO-00117"/>
    <x v="0"/>
    <d v="2022-05-27T00:00:00"/>
    <m/>
    <s v="Packaging"/>
    <s v="Delivered"/>
    <n v="1822"/>
    <n v="53.23"/>
    <n v="47.49"/>
    <n v="39"/>
    <s v="Yes"/>
    <d v="1899-12-30T00:00:00"/>
    <s v="Net 45"/>
    <n v="45"/>
    <d v="1900-02-13T00:00:00"/>
    <d v="1900-02-22T00:00:00"/>
    <n v="54"/>
    <x v="0"/>
    <x v="0"/>
    <n v="9"/>
    <s v="Inefficient"/>
  </r>
  <r>
    <s v="PO-00118"/>
    <x v="1"/>
    <d v="2022-09-29T00:00:00"/>
    <d v="2022-10-13T00:00:00"/>
    <s v="Packaging"/>
    <s v="Delivered"/>
    <n v="387"/>
    <n v="49.23"/>
    <n v="45.41"/>
    <n v="61"/>
    <s v="Yes"/>
    <d v="2022-10-13T00:00:00"/>
    <s v="Net 30"/>
    <n v="30"/>
    <d v="2022-11-12T00:00:00"/>
    <d v="2022-11-12T00:00:00"/>
    <n v="30"/>
    <x v="1"/>
    <x v="1"/>
    <n v="0"/>
    <s v="Efficient"/>
  </r>
  <r>
    <s v="PO-00119"/>
    <x v="4"/>
    <d v="2022-05-23T00:00:00"/>
    <d v="2022-05-27T00:00:00"/>
    <s v="MRO"/>
    <s v="Delivered"/>
    <n v="928"/>
    <n v="35.299999999999997"/>
    <n v="32.520000000000003"/>
    <n v="26"/>
    <s v="Yes"/>
    <d v="2022-05-27T00:00:00"/>
    <s v="Net 30"/>
    <n v="30"/>
    <d v="2022-06-26T00:00:00"/>
    <d v="2022-07-15T00:00:00"/>
    <n v="49"/>
    <x v="0"/>
    <x v="0"/>
    <n v="19"/>
    <s v="Inefficient"/>
  </r>
  <r>
    <s v="PO-00120"/>
    <x v="0"/>
    <d v="2022-09-10T00:00:00"/>
    <d v="2022-09-21T00:00:00"/>
    <s v="Packaging"/>
    <s v="Partially Delivered"/>
    <n v="1126"/>
    <n v="15.68"/>
    <n v="14.97"/>
    <n v="27"/>
    <s v="Yes"/>
    <d v="2022-09-21T00:00:00"/>
    <s v="Net 30"/>
    <n v="30"/>
    <d v="2022-10-21T00:00:00"/>
    <d v="2022-10-31T00:00:00"/>
    <n v="40"/>
    <x v="0"/>
    <x v="0"/>
    <n v="10"/>
    <s v="Inefficient"/>
  </r>
  <r>
    <s v="PO-00121"/>
    <x v="3"/>
    <d v="2023-07-29T00:00:00"/>
    <d v="2023-08-14T00:00:00"/>
    <s v="Raw Materials"/>
    <s v="Cancelled"/>
    <n v="841"/>
    <n v="95.73"/>
    <n v="85.33"/>
    <n v="81"/>
    <s v="Yes"/>
    <d v="2023-08-14T00:00:00"/>
    <s v="Net 15"/>
    <n v="15"/>
    <d v="2023-08-29T00:00:00"/>
    <d v="2023-08-29T00:00:00"/>
    <n v="15"/>
    <x v="1"/>
    <x v="1"/>
    <n v="0"/>
    <s v="Efficient"/>
  </r>
  <r>
    <s v="PO-00122"/>
    <x v="3"/>
    <d v="2023-07-06T00:00:00"/>
    <d v="2023-07-19T00:00:00"/>
    <s v="Electronics"/>
    <s v="Delivered"/>
    <n v="1995"/>
    <n v="90.65"/>
    <n v="77.75"/>
    <n v="206"/>
    <s v="Yes"/>
    <d v="2023-07-19T00:00:00"/>
    <s v="Net 45"/>
    <n v="45"/>
    <d v="2023-09-02T00:00:00"/>
    <d v="2023-09-02T00:00:00"/>
    <n v="45"/>
    <x v="1"/>
    <x v="0"/>
    <n v="0"/>
    <s v="Efficient"/>
  </r>
  <r>
    <s v="PO-00123"/>
    <x v="0"/>
    <d v="2022-09-27T00:00:00"/>
    <d v="2022-10-15T00:00:00"/>
    <s v="Raw Materials"/>
    <s v="Delivered"/>
    <n v="266"/>
    <n v="103.97"/>
    <n v="101.44"/>
    <n v="6"/>
    <s v="Yes"/>
    <d v="2022-10-15T00:00:00"/>
    <s v="Net 15"/>
    <n v="15"/>
    <d v="2022-10-30T00:00:00"/>
    <d v="2022-10-28T00:00:00"/>
    <n v="13"/>
    <x v="1"/>
    <x v="1"/>
    <n v="0"/>
    <s v="Efficient"/>
  </r>
  <r>
    <s v="PO-00124"/>
    <x v="0"/>
    <d v="2023-08-22T00:00:00"/>
    <d v="2023-08-25T00:00:00"/>
    <s v="Raw Materials"/>
    <s v="Cancelled"/>
    <n v="813"/>
    <n v="109.17"/>
    <n v="107.39"/>
    <n v="14"/>
    <s v="Yes"/>
    <d v="2023-08-25T00:00:00"/>
    <s v="Net 45"/>
    <n v="45"/>
    <d v="2023-10-09T00:00:00"/>
    <d v="2023-10-20T00:00:00"/>
    <n v="56"/>
    <x v="0"/>
    <x v="0"/>
    <n v="11"/>
    <s v="Inefficient"/>
  </r>
  <r>
    <s v="PO-00125"/>
    <x v="4"/>
    <d v="2023-03-15T00:00:00"/>
    <d v="2023-03-26T00:00:00"/>
    <s v="Electronics"/>
    <s v="Delivered"/>
    <n v="237"/>
    <n v="64.19"/>
    <n v="59.01"/>
    <n v="7"/>
    <s v="Yes"/>
    <d v="2023-03-26T00:00:00"/>
    <s v="Net 30"/>
    <n v="30"/>
    <d v="2023-04-25T00:00:00"/>
    <d v="2023-05-14T00:00:00"/>
    <n v="49"/>
    <x v="0"/>
    <x v="0"/>
    <n v="19"/>
    <s v="Inefficient"/>
  </r>
  <r>
    <s v="PO-00126"/>
    <x v="0"/>
    <d v="2023-08-21T00:00:00"/>
    <d v="2023-09-03T00:00:00"/>
    <s v="Office Supplies"/>
    <s v="Cancelled"/>
    <n v="429"/>
    <n v="86.73"/>
    <n v="75.09"/>
    <n v="9"/>
    <s v="Yes"/>
    <d v="2023-09-03T00:00:00"/>
    <s v="Net 30"/>
    <n v="30"/>
    <d v="2023-10-03T00:00:00"/>
    <d v="2023-10-20T00:00:00"/>
    <n v="47"/>
    <x v="0"/>
    <x v="0"/>
    <n v="17"/>
    <s v="Inefficient"/>
  </r>
  <r>
    <s v="PO-00127"/>
    <x v="1"/>
    <d v="2023-02-13T00:00:00"/>
    <d v="2023-02-14T00:00:00"/>
    <s v="Packaging"/>
    <s v="Delivered"/>
    <n v="542"/>
    <n v="101.21"/>
    <n v="93.11"/>
    <n v="78"/>
    <s v="No"/>
    <d v="2023-02-14T00:00:00"/>
    <s v="Net 45"/>
    <n v="45"/>
    <d v="2023-03-31T00:00:00"/>
    <d v="2023-04-18T00:00:00"/>
    <n v="63"/>
    <x v="0"/>
    <x v="2"/>
    <n v="18"/>
    <s v="Inefficient"/>
  </r>
  <r>
    <s v="PO-00128"/>
    <x v="4"/>
    <d v="2023-01-06T00:00:00"/>
    <d v="2023-01-24T00:00:00"/>
    <s v="Electronics"/>
    <s v="Delivered"/>
    <n v="1114"/>
    <n v="91.66"/>
    <n v="85.53"/>
    <n v="35"/>
    <s v="Yes"/>
    <d v="2023-01-24T00:00:00"/>
    <s v="Net 30"/>
    <n v="30"/>
    <d v="2023-02-23T00:00:00"/>
    <d v="2023-03-12T00:00:00"/>
    <n v="47"/>
    <x v="0"/>
    <x v="0"/>
    <n v="17"/>
    <s v="Inefficient"/>
  </r>
  <r>
    <s v="PO-00129"/>
    <x v="0"/>
    <d v="2022-08-13T00:00:00"/>
    <d v="2022-08-15T00:00:00"/>
    <s v="MRO"/>
    <s v="Delivered"/>
    <n v="1230"/>
    <n v="33.39"/>
    <n v="30.85"/>
    <n v="26"/>
    <s v="Yes"/>
    <d v="2022-08-15T00:00:00"/>
    <s v="Net 30"/>
    <n v="30"/>
    <d v="2022-09-14T00:00:00"/>
    <d v="2022-09-30T00:00:00"/>
    <n v="46"/>
    <x v="0"/>
    <x v="0"/>
    <n v="16"/>
    <s v="Inefficient"/>
  </r>
  <r>
    <s v="PO-00130"/>
    <x v="3"/>
    <d v="2022-05-22T00:00:00"/>
    <d v="2022-06-03T00:00:00"/>
    <s v="MRO"/>
    <s v="Delivered"/>
    <n v="64"/>
    <n v="51.56"/>
    <n v="50.88"/>
    <n v="5"/>
    <s v="Yes"/>
    <d v="2022-06-03T00:00:00"/>
    <s v="Net 45"/>
    <n v="45"/>
    <d v="2022-07-18T00:00:00"/>
    <d v="2022-07-21T00:00:00"/>
    <n v="48"/>
    <x v="0"/>
    <x v="0"/>
    <n v="3"/>
    <s v="Inefficient"/>
  </r>
  <r>
    <s v="PO-00131"/>
    <x v="0"/>
    <d v="2023-06-06T00:00:00"/>
    <d v="2023-06-22T00:00:00"/>
    <s v="MRO"/>
    <s v="Delivered"/>
    <n v="1886"/>
    <n v="23.46"/>
    <n v="23.18"/>
    <m/>
    <s v="Yes"/>
    <d v="2023-06-22T00:00:00"/>
    <s v="Net 30"/>
    <n v="30"/>
    <d v="2023-07-22T00:00:00"/>
    <d v="2023-08-09T00:00:00"/>
    <n v="48"/>
    <x v="0"/>
    <x v="0"/>
    <n v="18"/>
    <s v="Inefficient"/>
  </r>
  <r>
    <s v="PO-00132"/>
    <x v="1"/>
    <d v="2023-05-21T00:00:00"/>
    <d v="2023-05-23T00:00:00"/>
    <s v="Office Supplies"/>
    <s v="Delivered"/>
    <n v="114"/>
    <n v="103.53"/>
    <n v="101.54"/>
    <n v="14"/>
    <s v="Yes"/>
    <d v="2023-05-23T00:00:00"/>
    <s v="Net 30"/>
    <n v="30"/>
    <d v="2023-06-22T00:00:00"/>
    <d v="2023-06-27T00:00:00"/>
    <n v="35"/>
    <x v="0"/>
    <x v="0"/>
    <n v="5"/>
    <s v="Inefficient"/>
  </r>
  <r>
    <s v="PO-00133"/>
    <x v="1"/>
    <d v="2022-04-04T00:00:00"/>
    <d v="2022-04-22T00:00:00"/>
    <s v="Electronics"/>
    <s v="Cancelled"/>
    <n v="1930"/>
    <n v="65.52"/>
    <n v="56.9"/>
    <n v="282"/>
    <s v="Yes"/>
    <d v="2022-04-22T00:00:00"/>
    <s v="Net 15"/>
    <n v="15"/>
    <d v="2022-05-07T00:00:00"/>
    <d v="2022-05-21T00:00:00"/>
    <n v="29"/>
    <x v="0"/>
    <x v="1"/>
    <n v="14"/>
    <s v="Inefficient"/>
  </r>
  <r>
    <s v="PO-00134"/>
    <x v="3"/>
    <d v="2022-02-18T00:00:00"/>
    <d v="2022-02-28T00:00:00"/>
    <s v="Office Supplies"/>
    <s v="Pending"/>
    <n v="1912"/>
    <n v="30.73"/>
    <n v="29.82"/>
    <n v="191"/>
    <s v="Yes"/>
    <d v="2022-02-28T00:00:00"/>
    <s v="Net 30"/>
    <n v="30"/>
    <d v="2022-03-30T00:00:00"/>
    <d v="2022-03-29T00:00:00"/>
    <n v="29"/>
    <x v="1"/>
    <x v="1"/>
    <n v="0"/>
    <s v="Efficient"/>
  </r>
  <r>
    <s v="PO-00135"/>
    <x v="4"/>
    <d v="2022-04-23T00:00:00"/>
    <d v="2022-05-09T00:00:00"/>
    <s v="MRO"/>
    <s v="Delivered"/>
    <n v="570"/>
    <n v="71.510000000000005"/>
    <n v="66.47"/>
    <m/>
    <s v="Yes"/>
    <d v="2022-05-09T00:00:00"/>
    <s v="Net 15"/>
    <n v="15"/>
    <d v="2022-05-24T00:00:00"/>
    <d v="2022-06-10T00:00:00"/>
    <n v="32"/>
    <x v="0"/>
    <x v="0"/>
    <n v="17"/>
    <s v="Inefficient"/>
  </r>
  <r>
    <s v="PO-00136"/>
    <x v="3"/>
    <d v="2022-06-06T00:00:00"/>
    <d v="2022-06-26T00:00:00"/>
    <s v="Raw Materials"/>
    <s v="Delivered"/>
    <n v="1417"/>
    <n v="67.27"/>
    <n v="60.62"/>
    <m/>
    <s v="Yes"/>
    <d v="2022-06-26T00:00:00"/>
    <s v="Net 15"/>
    <n v="15"/>
    <d v="2022-07-11T00:00:00"/>
    <d v="2022-07-06T00:00:00"/>
    <n v="10"/>
    <x v="1"/>
    <x v="1"/>
    <n v="0"/>
    <s v="Efficient"/>
  </r>
  <r>
    <s v="PO-00137"/>
    <x v="0"/>
    <d v="2023-10-05T00:00:00"/>
    <d v="2023-10-11T00:00:00"/>
    <s v="Raw Materials"/>
    <s v="Delivered"/>
    <n v="1202"/>
    <n v="46.67"/>
    <n v="44.13"/>
    <n v="21"/>
    <s v="No"/>
    <d v="2023-10-11T00:00:00"/>
    <s v="Net 45"/>
    <n v="45"/>
    <d v="2023-11-25T00:00:00"/>
    <d v="2023-12-09T00:00:00"/>
    <n v="59"/>
    <x v="0"/>
    <x v="0"/>
    <n v="14"/>
    <s v="Inefficient"/>
  </r>
  <r>
    <s v="PO-00138"/>
    <x v="3"/>
    <d v="2022-06-13T00:00:00"/>
    <d v="2022-06-14T00:00:00"/>
    <s v="Office Supplies"/>
    <s v="Delivered"/>
    <n v="697"/>
    <n v="20.73"/>
    <n v="19.829999999999998"/>
    <n v="78"/>
    <s v="No"/>
    <d v="2022-06-14T00:00:00"/>
    <s v="Net 15"/>
    <n v="15"/>
    <d v="2022-06-29T00:00:00"/>
    <d v="2022-07-17T00:00:00"/>
    <n v="33"/>
    <x v="0"/>
    <x v="0"/>
    <n v="18"/>
    <s v="Inefficient"/>
  </r>
  <r>
    <s v="PO-00139"/>
    <x v="4"/>
    <d v="2023-11-28T00:00:00"/>
    <d v="2023-12-01T00:00:00"/>
    <s v="MRO"/>
    <s v="Delivered"/>
    <n v="1545"/>
    <n v="78.19"/>
    <n v="76.91"/>
    <n v="42"/>
    <s v="Yes"/>
    <d v="2023-12-01T00:00:00"/>
    <s v="Net 15"/>
    <n v="15"/>
    <d v="2023-12-16T00:00:00"/>
    <d v="2023-12-22T00:00:00"/>
    <n v="21"/>
    <x v="0"/>
    <x v="1"/>
    <n v="6"/>
    <s v="Inefficient"/>
  </r>
  <r>
    <s v="PO-00140"/>
    <x v="2"/>
    <d v="2023-03-09T00:00:00"/>
    <d v="2023-03-13T00:00:00"/>
    <s v="MRO"/>
    <s v="Partially Delivered"/>
    <n v="1136"/>
    <n v="60.81"/>
    <n v="58.25"/>
    <n v="62"/>
    <s v="Yes"/>
    <d v="2023-03-13T00:00:00"/>
    <s v="Net 30"/>
    <n v="30"/>
    <d v="2023-04-12T00:00:00"/>
    <d v="2023-04-27T00:00:00"/>
    <n v="45"/>
    <x v="0"/>
    <x v="0"/>
    <n v="15"/>
    <s v="Inefficient"/>
  </r>
  <r>
    <s v="PO-00141"/>
    <x v="3"/>
    <d v="2023-09-03T00:00:00"/>
    <d v="2023-09-07T00:00:00"/>
    <s v="MRO"/>
    <s v="Delivered"/>
    <n v="1212"/>
    <n v="87.46"/>
    <n v="74.55"/>
    <n v="118"/>
    <s v="No"/>
    <d v="2023-09-07T00:00:00"/>
    <s v="Net 15"/>
    <n v="15"/>
    <d v="2023-09-22T00:00:00"/>
    <d v="2023-09-22T00:00:00"/>
    <n v="15"/>
    <x v="1"/>
    <x v="1"/>
    <n v="0"/>
    <s v="Efficient"/>
  </r>
  <r>
    <s v="PO-00142"/>
    <x v="4"/>
    <d v="2022-03-07T00:00:00"/>
    <d v="2022-03-12T00:00:00"/>
    <s v="MRO"/>
    <s v="Delivered"/>
    <n v="1572"/>
    <n v="57.38"/>
    <n v="49.32"/>
    <n v="40"/>
    <s v="Yes"/>
    <d v="2022-03-12T00:00:00"/>
    <s v="Net 45"/>
    <n v="45"/>
    <d v="2022-04-26T00:00:00"/>
    <d v="2022-05-12T00:00:00"/>
    <n v="61"/>
    <x v="0"/>
    <x v="2"/>
    <n v="16"/>
    <s v="Inefficient"/>
  </r>
  <r>
    <s v="PO-00143"/>
    <x v="2"/>
    <d v="2023-01-30T00:00:00"/>
    <d v="2023-02-09T00:00:00"/>
    <s v="Electronics"/>
    <s v="Delivered"/>
    <n v="642"/>
    <n v="91.9"/>
    <n v="81.489999999999995"/>
    <n v="26"/>
    <s v="Yes"/>
    <d v="2023-02-09T00:00:00"/>
    <s v="Net 45"/>
    <n v="45"/>
    <d v="2023-03-26T00:00:00"/>
    <d v="2023-03-21T00:00:00"/>
    <n v="40"/>
    <x v="1"/>
    <x v="0"/>
    <n v="0"/>
    <s v="Efficient"/>
  </r>
  <r>
    <s v="PO-00144"/>
    <x v="4"/>
    <d v="2023-01-26T00:00:00"/>
    <d v="2023-02-04T00:00:00"/>
    <s v="Office Supplies"/>
    <s v="Delivered"/>
    <n v="441"/>
    <n v="63.25"/>
    <n v="54.12"/>
    <n v="16"/>
    <s v="Yes"/>
    <d v="2023-02-04T00:00:00"/>
    <s v="Net 45"/>
    <n v="45"/>
    <d v="2023-03-21T00:00:00"/>
    <d v="2023-03-19T00:00:00"/>
    <n v="43"/>
    <x v="1"/>
    <x v="0"/>
    <n v="0"/>
    <s v="Efficient"/>
  </r>
  <r>
    <s v="PO-00145"/>
    <x v="4"/>
    <d v="2023-09-03T00:00:00"/>
    <d v="2023-09-19T00:00:00"/>
    <s v="Office Supplies"/>
    <s v="Delivered"/>
    <n v="1748"/>
    <n v="66.53"/>
    <n v="57.11"/>
    <m/>
    <s v="Yes"/>
    <d v="2023-09-19T00:00:00"/>
    <s v="Net 45"/>
    <n v="45"/>
    <d v="2023-11-03T00:00:00"/>
    <d v="2023-11-11T00:00:00"/>
    <n v="53"/>
    <x v="0"/>
    <x v="0"/>
    <n v="8"/>
    <s v="Inefficient"/>
  </r>
  <r>
    <s v="PO-00146"/>
    <x v="2"/>
    <d v="2023-04-25T00:00:00"/>
    <m/>
    <s v="Electronics"/>
    <s v="Pending"/>
    <n v="468"/>
    <n v="95.57"/>
    <n v="91.8"/>
    <n v="24"/>
    <s v="Yes"/>
    <d v="1899-12-30T00:00:00"/>
    <s v="Net 15"/>
    <n v="15"/>
    <d v="1900-01-14T00:00:00"/>
    <d v="1900-01-20T00:00:00"/>
    <n v="21"/>
    <x v="0"/>
    <x v="1"/>
    <n v="6"/>
    <s v="Inefficient"/>
  </r>
  <r>
    <s v="PO-00147"/>
    <x v="3"/>
    <d v="2023-06-26T00:00:00"/>
    <d v="2023-07-14T00:00:00"/>
    <s v="Raw Materials"/>
    <s v="Delivered"/>
    <n v="338"/>
    <n v="50.25"/>
    <n v="46.28"/>
    <n v="49"/>
    <s v="No"/>
    <d v="2023-07-14T00:00:00"/>
    <s v="Net 45"/>
    <n v="45"/>
    <d v="2023-08-28T00:00:00"/>
    <d v="2023-08-24T00:00:00"/>
    <n v="41"/>
    <x v="1"/>
    <x v="0"/>
    <n v="0"/>
    <s v="Efficient"/>
  </r>
  <r>
    <s v="PO-00148"/>
    <x v="2"/>
    <d v="2022-09-15T00:00:00"/>
    <d v="2022-09-22T00:00:00"/>
    <s v="Office Supplies"/>
    <s v="Delivered"/>
    <n v="428"/>
    <n v="22.94"/>
    <n v="21.52"/>
    <n v="26"/>
    <s v="Yes"/>
    <d v="2022-09-22T00:00:00"/>
    <s v="Net 15"/>
    <n v="15"/>
    <d v="2022-10-07T00:00:00"/>
    <d v="2022-10-14T00:00:00"/>
    <n v="22"/>
    <x v="0"/>
    <x v="1"/>
    <n v="7"/>
    <s v="Inefficient"/>
  </r>
  <r>
    <s v="PO-00149"/>
    <x v="3"/>
    <d v="2023-07-21T00:00:00"/>
    <m/>
    <s v="Packaging"/>
    <s v="Delivered"/>
    <n v="1846"/>
    <n v="13.72"/>
    <n v="12.62"/>
    <n v="216"/>
    <s v="Yes"/>
    <d v="1899-12-30T00:00:00"/>
    <s v="Net 45"/>
    <n v="45"/>
    <d v="1900-02-13T00:00:00"/>
    <d v="1900-02-20T00:00:00"/>
    <n v="52"/>
    <x v="0"/>
    <x v="0"/>
    <n v="7"/>
    <s v="Inefficient"/>
  </r>
  <r>
    <s v="PO-00150"/>
    <x v="4"/>
    <d v="2022-01-12T00:00:00"/>
    <d v="2022-01-17T00:00:00"/>
    <s v="Office Supplies"/>
    <s v="Delivered"/>
    <n v="1563"/>
    <n v="77.959999999999994"/>
    <n v="70.8"/>
    <n v="41"/>
    <s v="Yes"/>
    <d v="2022-01-17T00:00:00"/>
    <s v="Net 30"/>
    <n v="30"/>
    <d v="2022-02-16T00:00:00"/>
    <d v="2022-03-01T00:00:00"/>
    <n v="43"/>
    <x v="0"/>
    <x v="0"/>
    <n v="13"/>
    <s v="Inefficient"/>
  </r>
  <r>
    <s v="PO-00151"/>
    <x v="3"/>
    <d v="2023-11-28T00:00:00"/>
    <d v="2023-12-07T00:00:00"/>
    <s v="Office Supplies"/>
    <s v="Delivered"/>
    <n v="280"/>
    <n v="73.069999999999993"/>
    <n v="69.290000000000006"/>
    <n v="30"/>
    <s v="Yes"/>
    <d v="2023-12-07T00:00:00"/>
    <s v="Net 45"/>
    <n v="45"/>
    <d v="2024-01-21T00:00:00"/>
    <d v="2024-02-09T00:00:00"/>
    <n v="64"/>
    <x v="0"/>
    <x v="2"/>
    <n v="19"/>
    <s v="Inefficient"/>
  </r>
  <r>
    <s v="PO-00152"/>
    <x v="1"/>
    <d v="2022-04-28T00:00:00"/>
    <d v="2022-05-12T00:00:00"/>
    <s v="Raw Materials"/>
    <s v="Delivered"/>
    <n v="1067"/>
    <n v="74.47"/>
    <n v="64.16"/>
    <m/>
    <s v="No"/>
    <d v="2022-05-12T00:00:00"/>
    <s v="Net 30"/>
    <n v="30"/>
    <d v="2022-06-11T00:00:00"/>
    <d v="2022-06-30T00:00:00"/>
    <n v="49"/>
    <x v="0"/>
    <x v="0"/>
    <n v="19"/>
    <s v="Inefficient"/>
  </r>
  <r>
    <s v="PO-00153"/>
    <x v="2"/>
    <d v="2023-11-30T00:00:00"/>
    <d v="2023-12-17T00:00:00"/>
    <s v="Electronics"/>
    <s v="Pending"/>
    <n v="90"/>
    <n v="32.380000000000003"/>
    <n v="29.96"/>
    <n v="7"/>
    <s v="Yes"/>
    <d v="2023-12-17T00:00:00"/>
    <s v="Net 15"/>
    <n v="15"/>
    <d v="2024-01-01T00:00:00"/>
    <d v="2024-01-11T00:00:00"/>
    <n v="25"/>
    <x v="0"/>
    <x v="1"/>
    <n v="10"/>
    <s v="Inefficient"/>
  </r>
  <r>
    <s v="PO-00154"/>
    <x v="2"/>
    <d v="2023-07-04T00:00:00"/>
    <d v="2023-07-05T00:00:00"/>
    <s v="Raw Materials"/>
    <s v="Delivered"/>
    <n v="1101"/>
    <n v="24.28"/>
    <n v="22.73"/>
    <n v="59"/>
    <s v="No"/>
    <d v="2023-07-05T00:00:00"/>
    <s v="Net 15"/>
    <n v="15"/>
    <d v="2023-07-20T00:00:00"/>
    <d v="2023-08-04T00:00:00"/>
    <n v="30"/>
    <x v="0"/>
    <x v="1"/>
    <n v="15"/>
    <s v="Inefficient"/>
  </r>
  <r>
    <s v="PO-00155"/>
    <x v="0"/>
    <d v="2022-10-01T00:00:00"/>
    <d v="2022-10-11T00:00:00"/>
    <s v="Raw Materials"/>
    <s v="Delivered"/>
    <n v="184"/>
    <n v="11.82"/>
    <n v="10.51"/>
    <n v="4"/>
    <s v="Yes"/>
    <d v="2022-10-11T00:00:00"/>
    <s v="Net 45"/>
    <n v="45"/>
    <d v="2022-11-25T00:00:00"/>
    <d v="2022-12-11T00:00:00"/>
    <n v="61"/>
    <x v="0"/>
    <x v="2"/>
    <n v="16"/>
    <s v="Inefficient"/>
  </r>
  <r>
    <s v="PO-00156"/>
    <x v="4"/>
    <d v="2023-10-19T00:00:00"/>
    <d v="2023-11-07T00:00:00"/>
    <s v="Electronics"/>
    <s v="Delivered"/>
    <n v="250"/>
    <n v="45.92"/>
    <n v="41.02"/>
    <n v="3"/>
    <s v="Yes"/>
    <d v="2023-11-07T00:00:00"/>
    <s v="Net 45"/>
    <n v="45"/>
    <d v="2023-12-22T00:00:00"/>
    <d v="2023-12-23T00:00:00"/>
    <n v="46"/>
    <x v="0"/>
    <x v="0"/>
    <n v="1"/>
    <s v="Inefficient"/>
  </r>
  <r>
    <s v="PO-00157"/>
    <x v="4"/>
    <d v="2022-12-15T00:00:00"/>
    <m/>
    <s v="Packaging"/>
    <s v="Cancelled"/>
    <n v="1913"/>
    <n v="66.56"/>
    <n v="61.34"/>
    <n v="61"/>
    <s v="Yes"/>
    <d v="1899-12-30T00:00:00"/>
    <s v="Net 30"/>
    <n v="30"/>
    <d v="1900-01-29T00:00:00"/>
    <d v="1900-02-11T00:00:00"/>
    <n v="43"/>
    <x v="0"/>
    <x v="0"/>
    <n v="13"/>
    <s v="Inefficient"/>
  </r>
  <r>
    <s v="PO-00158"/>
    <x v="3"/>
    <d v="2022-04-25T00:00:00"/>
    <d v="2022-04-30T00:00:00"/>
    <s v="Electronics"/>
    <s v="Delivered"/>
    <n v="829"/>
    <n v="45.98"/>
    <n v="40.39"/>
    <m/>
    <s v="Yes"/>
    <d v="2022-04-30T00:00:00"/>
    <s v="Net 45"/>
    <n v="45"/>
    <d v="2022-06-14T00:00:00"/>
    <d v="2022-06-21T00:00:00"/>
    <n v="52"/>
    <x v="0"/>
    <x v="0"/>
    <n v="7"/>
    <s v="Inefficient"/>
  </r>
  <r>
    <s v="PO-00159"/>
    <x v="1"/>
    <d v="2022-10-28T00:00:00"/>
    <d v="2022-11-13T00:00:00"/>
    <s v="Raw Materials"/>
    <s v="Delivered"/>
    <n v="979"/>
    <n v="51.59"/>
    <n v="49.69"/>
    <n v="148"/>
    <s v="Yes"/>
    <d v="2022-11-13T00:00:00"/>
    <s v="Net 30"/>
    <n v="30"/>
    <d v="2022-12-13T00:00:00"/>
    <d v="2022-12-13T00:00:00"/>
    <n v="30"/>
    <x v="1"/>
    <x v="1"/>
    <n v="0"/>
    <s v="Efficient"/>
  </r>
  <r>
    <s v="PO-00160"/>
    <x v="4"/>
    <d v="2023-03-22T00:00:00"/>
    <d v="2023-04-09T00:00:00"/>
    <s v="Electronics"/>
    <s v="Partially Delivered"/>
    <n v="1106"/>
    <n v="97.77"/>
    <n v="90.45"/>
    <n v="31"/>
    <s v="Yes"/>
    <d v="2023-04-09T00:00:00"/>
    <s v="Net 30"/>
    <n v="30"/>
    <d v="2023-05-09T00:00:00"/>
    <d v="2023-05-10T00:00:00"/>
    <n v="31"/>
    <x v="0"/>
    <x v="0"/>
    <n v="1"/>
    <s v="Inefficient"/>
  </r>
  <r>
    <s v="PO-00161"/>
    <x v="1"/>
    <d v="2022-06-11T00:00:00"/>
    <d v="2022-06-24T00:00:00"/>
    <s v="Office Supplies"/>
    <s v="Pending"/>
    <n v="1121"/>
    <n v="42.38"/>
    <n v="38.340000000000003"/>
    <n v="152"/>
    <s v="Yes"/>
    <d v="2022-06-24T00:00:00"/>
    <s v="Net 45"/>
    <n v="45"/>
    <d v="2022-08-08T00:00:00"/>
    <d v="2022-08-27T00:00:00"/>
    <n v="64"/>
    <x v="0"/>
    <x v="2"/>
    <n v="19"/>
    <s v="Inefficient"/>
  </r>
  <r>
    <s v="PO-00162"/>
    <x v="0"/>
    <d v="2023-04-10T00:00:00"/>
    <d v="2023-04-21T00:00:00"/>
    <s v="Office Supplies"/>
    <s v="Delivered"/>
    <n v="552"/>
    <n v="60.48"/>
    <n v="56.78"/>
    <n v="10"/>
    <s v="Yes"/>
    <d v="2023-04-21T00:00:00"/>
    <s v="Net 15"/>
    <n v="15"/>
    <d v="2023-05-06T00:00:00"/>
    <d v="2023-05-05T00:00:00"/>
    <n v="14"/>
    <x v="1"/>
    <x v="1"/>
    <n v="0"/>
    <s v="Efficient"/>
  </r>
  <r>
    <s v="PO-00163"/>
    <x v="2"/>
    <d v="2022-01-04T00:00:00"/>
    <d v="2022-01-12T00:00:00"/>
    <s v="Packaging"/>
    <s v="Delivered"/>
    <n v="456"/>
    <n v="80.53"/>
    <n v="77.86"/>
    <n v="26"/>
    <s v="Yes"/>
    <d v="2022-01-12T00:00:00"/>
    <s v="Net 15"/>
    <n v="15"/>
    <d v="2022-01-27T00:00:00"/>
    <d v="2022-02-03T00:00:00"/>
    <n v="22"/>
    <x v="0"/>
    <x v="1"/>
    <n v="7"/>
    <s v="Inefficient"/>
  </r>
  <r>
    <s v="PO-00164"/>
    <x v="1"/>
    <d v="2022-09-27T00:00:00"/>
    <d v="2022-10-05T00:00:00"/>
    <s v="Packaging"/>
    <s v="Delivered"/>
    <n v="1647"/>
    <n v="47.52"/>
    <n v="44.92"/>
    <m/>
    <s v="Yes"/>
    <d v="2022-10-05T00:00:00"/>
    <s v="Net 15"/>
    <n v="15"/>
    <d v="2022-10-20T00:00:00"/>
    <d v="2022-10-30T00:00:00"/>
    <n v="25"/>
    <x v="0"/>
    <x v="1"/>
    <n v="10"/>
    <s v="Inefficient"/>
  </r>
  <r>
    <s v="PO-00165"/>
    <x v="4"/>
    <d v="2023-05-28T00:00:00"/>
    <d v="2023-06-11T00:00:00"/>
    <s v="Electronics"/>
    <s v="Pending"/>
    <n v="1801"/>
    <n v="71.27"/>
    <n v="61.24"/>
    <n v="43"/>
    <s v="Yes"/>
    <d v="2023-06-11T00:00:00"/>
    <s v="Net 30"/>
    <n v="30"/>
    <d v="2023-07-11T00:00:00"/>
    <d v="2023-07-22T00:00:00"/>
    <n v="41"/>
    <x v="0"/>
    <x v="0"/>
    <n v="11"/>
    <s v="Inefficient"/>
  </r>
  <r>
    <s v="PO-00166"/>
    <x v="2"/>
    <d v="2022-07-02T00:00:00"/>
    <d v="2022-07-18T00:00:00"/>
    <s v="Electronics"/>
    <s v="Delivered"/>
    <n v="854"/>
    <n v="90.24"/>
    <n v="85.53"/>
    <m/>
    <s v="Yes"/>
    <d v="2022-07-18T00:00:00"/>
    <s v="Net 15"/>
    <n v="15"/>
    <d v="2022-08-02T00:00:00"/>
    <d v="2022-08-09T00:00:00"/>
    <n v="22"/>
    <x v="0"/>
    <x v="1"/>
    <n v="7"/>
    <s v="Inefficient"/>
  </r>
  <r>
    <s v="PO-00167"/>
    <x v="1"/>
    <d v="2023-06-04T00:00:00"/>
    <d v="2023-06-17T00:00:00"/>
    <s v="Electronics"/>
    <s v="Delivered"/>
    <n v="148"/>
    <n v="103.57"/>
    <n v="98.62"/>
    <n v="23"/>
    <s v="No"/>
    <d v="2023-06-17T00:00:00"/>
    <s v="Net 30"/>
    <n v="30"/>
    <d v="2023-07-17T00:00:00"/>
    <d v="2023-07-25T00:00:00"/>
    <n v="38"/>
    <x v="0"/>
    <x v="0"/>
    <n v="8"/>
    <s v="Inefficient"/>
  </r>
  <r>
    <s v="PO-00168"/>
    <x v="1"/>
    <d v="2022-04-19T00:00:00"/>
    <d v="2022-04-24T00:00:00"/>
    <s v="MRO"/>
    <s v="Delivered"/>
    <n v="733"/>
    <n v="23.59"/>
    <n v="22.85"/>
    <n v="92"/>
    <s v="Yes"/>
    <d v="2022-04-24T00:00:00"/>
    <s v="Net 30"/>
    <n v="30"/>
    <d v="2022-05-24T00:00:00"/>
    <d v="2022-05-30T00:00:00"/>
    <n v="36"/>
    <x v="0"/>
    <x v="0"/>
    <n v="6"/>
    <s v="Inefficient"/>
  </r>
  <r>
    <s v="PO-00169"/>
    <x v="3"/>
    <d v="2023-10-03T00:00:00"/>
    <d v="2023-10-05T00:00:00"/>
    <s v="Raw Materials"/>
    <s v="Delivered"/>
    <n v="1945"/>
    <n v="103.2"/>
    <n v="88.56"/>
    <m/>
    <s v="Yes"/>
    <d v="2023-10-05T00:00:00"/>
    <s v="Net 30"/>
    <n v="30"/>
    <d v="2023-11-04T00:00:00"/>
    <d v="2023-11-06T00:00:00"/>
    <n v="32"/>
    <x v="0"/>
    <x v="0"/>
    <n v="2"/>
    <s v="Inefficient"/>
  </r>
  <r>
    <s v="PO-00170"/>
    <x v="2"/>
    <d v="2022-11-02T00:00:00"/>
    <d v="2022-11-21T00:00:00"/>
    <s v="Raw Materials"/>
    <s v="Delivered"/>
    <n v="775"/>
    <n v="57"/>
    <n v="49.14"/>
    <n v="48"/>
    <s v="Yes"/>
    <d v="2022-11-21T00:00:00"/>
    <s v="Net 30"/>
    <n v="30"/>
    <d v="2022-12-21T00:00:00"/>
    <d v="2022-12-30T00:00:00"/>
    <n v="39"/>
    <x v="0"/>
    <x v="0"/>
    <n v="9"/>
    <s v="Inefficient"/>
  </r>
  <r>
    <s v="PO-00171"/>
    <x v="1"/>
    <d v="2023-10-17T00:00:00"/>
    <d v="2023-10-21T00:00:00"/>
    <s v="Packaging"/>
    <s v="Delivered"/>
    <n v="1620"/>
    <n v="36.729999999999997"/>
    <n v="33.450000000000003"/>
    <n v="235"/>
    <s v="No"/>
    <d v="2023-10-21T00:00:00"/>
    <s v="Net 45"/>
    <n v="45"/>
    <d v="2023-12-05T00:00:00"/>
    <d v="2023-12-23T00:00:00"/>
    <n v="63"/>
    <x v="0"/>
    <x v="2"/>
    <n v="18"/>
    <s v="Inefficient"/>
  </r>
  <r>
    <s v="PO-00172"/>
    <x v="3"/>
    <d v="2023-06-04T00:00:00"/>
    <d v="2023-06-19T00:00:00"/>
    <s v="Office Supplies"/>
    <s v="Delivered"/>
    <n v="1010"/>
    <n v="55.68"/>
    <n v="50.86"/>
    <m/>
    <s v="Yes"/>
    <d v="2023-06-19T00:00:00"/>
    <s v="Net 45"/>
    <n v="45"/>
    <d v="2023-08-03T00:00:00"/>
    <d v="2023-08-06T00:00:00"/>
    <n v="48"/>
    <x v="0"/>
    <x v="0"/>
    <n v="3"/>
    <s v="Inefficient"/>
  </r>
  <r>
    <s v="PO-00173"/>
    <x v="4"/>
    <d v="2023-09-16T00:00:00"/>
    <d v="2023-10-01T00:00:00"/>
    <s v="Office Supplies"/>
    <s v="Delivered"/>
    <n v="1812"/>
    <n v="108.02"/>
    <n v="101.02"/>
    <n v="51"/>
    <s v="Yes"/>
    <d v="2023-10-01T00:00:00"/>
    <s v="Net 30"/>
    <n v="30"/>
    <d v="2023-10-31T00:00:00"/>
    <d v="2023-11-14T00:00:00"/>
    <n v="44"/>
    <x v="0"/>
    <x v="0"/>
    <n v="14"/>
    <s v="Inefficient"/>
  </r>
  <r>
    <s v="PO-00174"/>
    <x v="1"/>
    <d v="2022-07-23T00:00:00"/>
    <d v="2022-07-28T00:00:00"/>
    <s v="Office Supplies"/>
    <s v="Delivered"/>
    <n v="662"/>
    <n v="55.97"/>
    <n v="50"/>
    <n v="100"/>
    <s v="Yes"/>
    <d v="2022-07-28T00:00:00"/>
    <s v="Net 15"/>
    <n v="15"/>
    <d v="2022-08-12T00:00:00"/>
    <d v="2022-08-09T00:00:00"/>
    <n v="12"/>
    <x v="1"/>
    <x v="1"/>
    <n v="0"/>
    <s v="Efficient"/>
  </r>
  <r>
    <s v="PO-00175"/>
    <x v="3"/>
    <d v="2022-06-06T00:00:00"/>
    <d v="2022-06-11T00:00:00"/>
    <s v="Office Supplies"/>
    <s v="Pending"/>
    <n v="1535"/>
    <n v="40.58"/>
    <n v="38.71"/>
    <n v="165"/>
    <s v="Yes"/>
    <d v="2022-06-11T00:00:00"/>
    <s v="Net 15"/>
    <n v="15"/>
    <d v="2022-06-26T00:00:00"/>
    <d v="2022-06-23T00:00:00"/>
    <n v="12"/>
    <x v="1"/>
    <x v="1"/>
    <n v="0"/>
    <s v="Efficient"/>
  </r>
  <r>
    <s v="PO-00176"/>
    <x v="3"/>
    <d v="2023-01-18T00:00:00"/>
    <d v="2023-01-27T00:00:00"/>
    <s v="Raw Materials"/>
    <s v="Delivered"/>
    <n v="692"/>
    <n v="71.03"/>
    <n v="67.739999999999995"/>
    <n v="70"/>
    <s v="Yes"/>
    <d v="2023-01-27T00:00:00"/>
    <s v="Net 45"/>
    <n v="45"/>
    <d v="2023-03-13T00:00:00"/>
    <d v="2023-03-27T00:00:00"/>
    <n v="59"/>
    <x v="0"/>
    <x v="0"/>
    <n v="14"/>
    <s v="Inefficient"/>
  </r>
  <r>
    <s v="PO-00177"/>
    <x v="2"/>
    <d v="2022-06-15T00:00:00"/>
    <d v="2022-06-28T00:00:00"/>
    <s v="MRO"/>
    <s v="Delivered"/>
    <n v="1842"/>
    <n v="32.4"/>
    <n v="28.08"/>
    <n v="96"/>
    <s v="Yes"/>
    <d v="2022-06-28T00:00:00"/>
    <s v="Net 30"/>
    <n v="30"/>
    <d v="2022-07-28T00:00:00"/>
    <d v="2022-08-04T00:00:00"/>
    <n v="37"/>
    <x v="0"/>
    <x v="0"/>
    <n v="7"/>
    <s v="Inefficient"/>
  </r>
  <r>
    <s v="PO-00178"/>
    <x v="3"/>
    <d v="2023-07-07T00:00:00"/>
    <d v="2023-07-18T00:00:00"/>
    <s v="Office Supplies"/>
    <s v="Cancelled"/>
    <n v="1078"/>
    <n v="18.34"/>
    <n v="17.41"/>
    <n v="102"/>
    <s v="Yes"/>
    <d v="2023-07-18T00:00:00"/>
    <s v="Net 30"/>
    <n v="30"/>
    <d v="2023-08-17T00:00:00"/>
    <d v="2023-08-12T00:00:00"/>
    <n v="25"/>
    <x v="1"/>
    <x v="1"/>
    <n v="0"/>
    <s v="Efficient"/>
  </r>
  <r>
    <s v="PO-00179"/>
    <x v="1"/>
    <d v="2023-06-28T00:00:00"/>
    <d v="2023-07-16T00:00:00"/>
    <s v="Packaging"/>
    <s v="Delivered"/>
    <n v="1291"/>
    <n v="23.44"/>
    <n v="22.23"/>
    <m/>
    <s v="Yes"/>
    <d v="2023-07-16T00:00:00"/>
    <s v="Net 30"/>
    <n v="30"/>
    <d v="2023-08-15T00:00:00"/>
    <d v="2023-09-01T00:00:00"/>
    <n v="47"/>
    <x v="0"/>
    <x v="0"/>
    <n v="17"/>
    <s v="Inefficient"/>
  </r>
  <r>
    <s v="PO-00180"/>
    <x v="0"/>
    <d v="2022-01-01T00:00:00"/>
    <d v="2022-01-12T00:00:00"/>
    <s v="Electronics"/>
    <s v="Delivered"/>
    <n v="552"/>
    <n v="21.52"/>
    <n v="18.79"/>
    <n v="13"/>
    <s v="Yes"/>
    <d v="2022-01-12T00:00:00"/>
    <s v="Net 30"/>
    <n v="30"/>
    <d v="2022-02-11T00:00:00"/>
    <d v="2022-02-15T00:00:00"/>
    <n v="34"/>
    <x v="0"/>
    <x v="0"/>
    <n v="4"/>
    <s v="Inefficient"/>
  </r>
  <r>
    <s v="PO-00181"/>
    <x v="4"/>
    <d v="2023-09-06T00:00:00"/>
    <d v="2023-09-22T00:00:00"/>
    <s v="Electronics"/>
    <s v="Delivered"/>
    <n v="816"/>
    <n v="26.04"/>
    <n v="25.61"/>
    <n v="28"/>
    <s v="Yes"/>
    <d v="2023-09-22T00:00:00"/>
    <s v="Net 30"/>
    <n v="30"/>
    <d v="2023-10-22T00:00:00"/>
    <d v="2023-11-05T00:00:00"/>
    <n v="44"/>
    <x v="0"/>
    <x v="0"/>
    <n v="14"/>
    <s v="Inefficient"/>
  </r>
  <r>
    <s v="PO-00182"/>
    <x v="1"/>
    <d v="2022-11-28T00:00:00"/>
    <d v="2022-11-30T00:00:00"/>
    <s v="Packaging"/>
    <s v="Delivered"/>
    <n v="447"/>
    <n v="23.62"/>
    <n v="21.81"/>
    <n v="50"/>
    <s v="Yes"/>
    <d v="2022-11-30T00:00:00"/>
    <s v="Net 30"/>
    <n v="30"/>
    <d v="2022-12-30T00:00:00"/>
    <d v="2023-01-05T00:00:00"/>
    <n v="36"/>
    <x v="0"/>
    <x v="0"/>
    <n v="6"/>
    <s v="Inefficient"/>
  </r>
  <r>
    <s v="PO-00183"/>
    <x v="1"/>
    <d v="2023-05-16T00:00:00"/>
    <d v="2023-05-24T00:00:00"/>
    <s v="Packaging"/>
    <s v="Partially Delivered"/>
    <n v="920"/>
    <n v="73.09"/>
    <n v="70.14"/>
    <m/>
    <s v="Yes"/>
    <d v="2023-05-24T00:00:00"/>
    <s v="Net 15"/>
    <n v="15"/>
    <d v="2023-06-08T00:00:00"/>
    <d v="2023-06-23T00:00:00"/>
    <n v="30"/>
    <x v="0"/>
    <x v="1"/>
    <n v="15"/>
    <s v="Inefficient"/>
  </r>
  <r>
    <s v="PO-00184"/>
    <x v="4"/>
    <d v="2022-01-20T00:00:00"/>
    <d v="2022-01-30T00:00:00"/>
    <s v="Packaging"/>
    <s v="Partially Delivered"/>
    <n v="844"/>
    <n v="26.37"/>
    <n v="25.08"/>
    <n v="38"/>
    <s v="Yes"/>
    <d v="2022-01-30T00:00:00"/>
    <s v="Net 45"/>
    <n v="45"/>
    <d v="2022-03-16T00:00:00"/>
    <d v="2022-04-05T00:00:00"/>
    <n v="65"/>
    <x v="0"/>
    <x v="2"/>
    <n v="20"/>
    <s v="Inefficient"/>
  </r>
  <r>
    <s v="PO-00185"/>
    <x v="4"/>
    <d v="2022-04-25T00:00:00"/>
    <m/>
    <s v="MRO"/>
    <s v="Delivered"/>
    <n v="442"/>
    <n v="41.73"/>
    <n v="36.450000000000003"/>
    <n v="15"/>
    <s v="Yes"/>
    <d v="1899-12-30T00:00:00"/>
    <s v="Net 45"/>
    <n v="45"/>
    <d v="1900-02-13T00:00:00"/>
    <d v="1900-03-05T00:00:00"/>
    <n v="65"/>
    <x v="0"/>
    <x v="2"/>
    <n v="20"/>
    <s v="Inefficient"/>
  </r>
  <r>
    <s v="PO-00186"/>
    <x v="3"/>
    <d v="2023-01-07T00:00:00"/>
    <d v="2023-01-21T00:00:00"/>
    <s v="Electronics"/>
    <s v="Cancelled"/>
    <n v="256"/>
    <n v="96.15"/>
    <n v="83.44"/>
    <n v="26"/>
    <s v="Yes"/>
    <d v="2023-01-21T00:00:00"/>
    <s v="Net 30"/>
    <n v="30"/>
    <d v="2023-02-20T00:00:00"/>
    <d v="2023-02-15T00:00:00"/>
    <n v="25"/>
    <x v="1"/>
    <x v="1"/>
    <n v="0"/>
    <s v="Efficient"/>
  </r>
  <r>
    <s v="PO-00187"/>
    <x v="1"/>
    <d v="2022-11-11T00:00:00"/>
    <m/>
    <s v="MRO"/>
    <s v="Partially Delivered"/>
    <n v="1088"/>
    <n v="55.29"/>
    <n v="53.04"/>
    <n v="161"/>
    <s v="No"/>
    <d v="1899-12-30T00:00:00"/>
    <s v="Net 45"/>
    <n v="45"/>
    <d v="1900-02-13T00:00:00"/>
    <d v="1900-02-09T00:00:00"/>
    <n v="41"/>
    <x v="1"/>
    <x v="0"/>
    <n v="0"/>
    <s v="Efficient"/>
  </r>
  <r>
    <s v="PO-00188"/>
    <x v="3"/>
    <d v="2022-09-03T00:00:00"/>
    <d v="2022-09-07T00:00:00"/>
    <s v="Office Supplies"/>
    <s v="Delivered"/>
    <n v="1931"/>
    <n v="72.88"/>
    <n v="64.69"/>
    <n v="187"/>
    <s v="Yes"/>
    <d v="2022-09-07T00:00:00"/>
    <s v="Net 15"/>
    <n v="15"/>
    <d v="2022-09-22T00:00:00"/>
    <d v="2022-09-26T00:00:00"/>
    <n v="19"/>
    <x v="0"/>
    <x v="1"/>
    <n v="4"/>
    <s v="Inefficient"/>
  </r>
  <r>
    <s v="PO-00189"/>
    <x v="2"/>
    <d v="2022-03-01T00:00:00"/>
    <d v="2022-03-11T00:00:00"/>
    <s v="Electronics"/>
    <s v="Delivered"/>
    <n v="1627"/>
    <n v="25.76"/>
    <n v="25.09"/>
    <n v="74"/>
    <s v="Yes"/>
    <d v="2022-03-11T00:00:00"/>
    <s v="Net 30"/>
    <n v="30"/>
    <d v="2022-04-10T00:00:00"/>
    <d v="2022-04-20T00:00:00"/>
    <n v="40"/>
    <x v="0"/>
    <x v="0"/>
    <n v="10"/>
    <s v="Inefficient"/>
  </r>
  <r>
    <s v="PO-00190"/>
    <x v="3"/>
    <d v="2022-09-04T00:00:00"/>
    <m/>
    <s v="Packaging"/>
    <s v="Delivered"/>
    <n v="941"/>
    <n v="28.4"/>
    <n v="27.21"/>
    <m/>
    <s v="No"/>
    <d v="1899-12-30T00:00:00"/>
    <s v="Net 15"/>
    <n v="15"/>
    <d v="1900-01-14T00:00:00"/>
    <d v="1900-01-28T00:00:00"/>
    <n v="29"/>
    <x v="0"/>
    <x v="1"/>
    <n v="14"/>
    <s v="Inefficient"/>
  </r>
  <r>
    <s v="PO-00191"/>
    <x v="2"/>
    <d v="2023-08-04T00:00:00"/>
    <d v="2023-08-06T00:00:00"/>
    <s v="MRO"/>
    <s v="Delivered"/>
    <n v="1534"/>
    <n v="14.98"/>
    <n v="12.79"/>
    <m/>
    <s v="Yes"/>
    <d v="2023-08-06T00:00:00"/>
    <s v="Net 30"/>
    <n v="30"/>
    <d v="2023-09-05T00:00:00"/>
    <d v="2023-09-17T00:00:00"/>
    <n v="42"/>
    <x v="0"/>
    <x v="0"/>
    <n v="12"/>
    <s v="Inefficient"/>
  </r>
  <r>
    <s v="PO-00192"/>
    <x v="0"/>
    <d v="2022-03-22T00:00:00"/>
    <d v="2022-04-03T00:00:00"/>
    <s v="Raw Materials"/>
    <s v="Delivered"/>
    <n v="1764"/>
    <n v="25.46"/>
    <n v="24.52"/>
    <n v="46"/>
    <s v="Yes"/>
    <d v="2022-04-03T00:00:00"/>
    <s v="Net 45"/>
    <n v="45"/>
    <d v="2022-05-18T00:00:00"/>
    <d v="2022-06-05T00:00:00"/>
    <n v="63"/>
    <x v="0"/>
    <x v="2"/>
    <n v="18"/>
    <s v="Inefficient"/>
  </r>
  <r>
    <s v="PO-00193"/>
    <x v="1"/>
    <d v="2022-03-29T00:00:00"/>
    <d v="2022-04-06T00:00:00"/>
    <s v="Electronics"/>
    <s v="Delivered"/>
    <n v="1648"/>
    <n v="35.42"/>
    <n v="31.46"/>
    <m/>
    <s v="No"/>
    <d v="2022-04-06T00:00:00"/>
    <s v="Net 45"/>
    <n v="45"/>
    <d v="2022-05-21T00:00:00"/>
    <d v="2022-05-25T00:00:00"/>
    <n v="49"/>
    <x v="0"/>
    <x v="0"/>
    <n v="4"/>
    <s v="Inefficient"/>
  </r>
  <r>
    <s v="PO-00194"/>
    <x v="2"/>
    <d v="2023-05-13T00:00:00"/>
    <d v="2023-06-01T00:00:00"/>
    <s v="Packaging"/>
    <s v="Delivered"/>
    <n v="913"/>
    <n v="28.01"/>
    <n v="24.06"/>
    <n v="53"/>
    <s v="Yes"/>
    <d v="2023-06-01T00:00:00"/>
    <s v="Net 30"/>
    <n v="30"/>
    <d v="2023-07-01T00:00:00"/>
    <d v="2023-07-07T00:00:00"/>
    <n v="36"/>
    <x v="0"/>
    <x v="0"/>
    <n v="6"/>
    <s v="Inefficient"/>
  </r>
  <r>
    <s v="PO-00195"/>
    <x v="0"/>
    <d v="2022-03-12T00:00:00"/>
    <d v="2022-03-18T00:00:00"/>
    <s v="Packaging"/>
    <s v="Cancelled"/>
    <n v="792"/>
    <n v="18.16"/>
    <n v="17.25"/>
    <n v="17"/>
    <s v="Yes"/>
    <d v="2022-03-18T00:00:00"/>
    <s v="Net 15"/>
    <n v="15"/>
    <d v="2022-04-02T00:00:00"/>
    <d v="2022-04-17T00:00:00"/>
    <n v="30"/>
    <x v="0"/>
    <x v="1"/>
    <n v="15"/>
    <s v="Inefficient"/>
  </r>
  <r>
    <s v="PO-00196"/>
    <x v="4"/>
    <d v="2023-06-30T00:00:00"/>
    <d v="2023-07-03T00:00:00"/>
    <s v="Office Supplies"/>
    <s v="Partially Delivered"/>
    <n v="1314"/>
    <n v="22.63"/>
    <n v="21.06"/>
    <n v="44"/>
    <s v="Yes"/>
    <d v="2023-07-03T00:00:00"/>
    <s v="Net 15"/>
    <n v="15"/>
    <d v="2023-07-18T00:00:00"/>
    <d v="2023-07-19T00:00:00"/>
    <n v="16"/>
    <x v="0"/>
    <x v="1"/>
    <n v="1"/>
    <s v="Inefficient"/>
  </r>
  <r>
    <s v="PO-00197"/>
    <x v="3"/>
    <d v="2022-05-09T00:00:00"/>
    <d v="2022-05-22T00:00:00"/>
    <s v="MRO"/>
    <s v="Delivered"/>
    <n v="613"/>
    <n v="52.5"/>
    <n v="45.19"/>
    <n v="70"/>
    <s v="Yes"/>
    <d v="2022-05-22T00:00:00"/>
    <s v="Net 45"/>
    <n v="45"/>
    <d v="2022-07-06T00:00:00"/>
    <d v="2022-07-06T00:00:00"/>
    <n v="45"/>
    <x v="1"/>
    <x v="0"/>
    <n v="0"/>
    <s v="Efficient"/>
  </r>
  <r>
    <s v="PO-00198"/>
    <x v="0"/>
    <d v="2022-05-12T00:00:00"/>
    <d v="2022-05-20T00:00:00"/>
    <s v="Office Supplies"/>
    <s v="Delivered"/>
    <n v="1070"/>
    <n v="29.14"/>
    <n v="26.63"/>
    <n v="24"/>
    <s v="Yes"/>
    <d v="2022-05-20T00:00:00"/>
    <s v="Net 15"/>
    <n v="15"/>
    <d v="2022-06-04T00:00:00"/>
    <d v="2022-06-05T00:00:00"/>
    <n v="16"/>
    <x v="0"/>
    <x v="1"/>
    <n v="1"/>
    <s v="Inefficient"/>
  </r>
  <r>
    <s v="PO-00199"/>
    <x v="2"/>
    <d v="2023-11-07T00:00:00"/>
    <d v="2023-11-26T00:00:00"/>
    <s v="Raw Materials"/>
    <s v="Partially Delivered"/>
    <n v="145"/>
    <n v="47.49"/>
    <n v="42.76"/>
    <n v="6"/>
    <s v="Yes"/>
    <d v="2023-11-26T00:00:00"/>
    <s v="Net 30"/>
    <n v="30"/>
    <d v="2023-12-26T00:00:00"/>
    <d v="2023-12-30T00:00:00"/>
    <n v="34"/>
    <x v="0"/>
    <x v="0"/>
    <n v="4"/>
    <s v="Inefficient"/>
  </r>
  <r>
    <s v="PO-00200"/>
    <x v="1"/>
    <d v="2023-05-02T00:00:00"/>
    <d v="2023-05-17T00:00:00"/>
    <s v="Raw Materials"/>
    <s v="Delivered"/>
    <n v="1973"/>
    <n v="59.73"/>
    <n v="54.95"/>
    <n v="291"/>
    <s v="Yes"/>
    <d v="2023-05-17T00:00:00"/>
    <s v="Net 15"/>
    <n v="15"/>
    <d v="2023-06-01T00:00:00"/>
    <d v="2023-05-28T00:00:00"/>
    <n v="11"/>
    <x v="1"/>
    <x v="1"/>
    <n v="0"/>
    <s v="Efficient"/>
  </r>
  <r>
    <s v="PO-00201"/>
    <x v="4"/>
    <d v="2023-07-17T00:00:00"/>
    <d v="2023-08-01T00:00:00"/>
    <s v="Office Supplies"/>
    <s v="Delivered"/>
    <n v="1807"/>
    <n v="78.63"/>
    <n v="73.08"/>
    <n v="100"/>
    <s v="Yes"/>
    <d v="2023-08-01T00:00:00"/>
    <s v="Net 45"/>
    <n v="45"/>
    <d v="2023-09-15T00:00:00"/>
    <d v="2023-09-28T00:00:00"/>
    <n v="58"/>
    <x v="0"/>
    <x v="0"/>
    <n v="13"/>
    <s v="Inefficient"/>
  </r>
  <r>
    <s v="PO-00202"/>
    <x v="4"/>
    <d v="2022-06-19T00:00:00"/>
    <d v="2022-06-20T00:00:00"/>
    <s v="Electronics"/>
    <s v="Delivered"/>
    <n v="534"/>
    <n v="13.88"/>
    <n v="12.51"/>
    <n v="100"/>
    <s v="Yes"/>
    <d v="2022-06-20T00:00:00"/>
    <s v="Net 15"/>
    <n v="15"/>
    <d v="2022-07-05T00:00:00"/>
    <d v="2022-07-24T00:00:00"/>
    <n v="34"/>
    <x v="0"/>
    <x v="0"/>
    <n v="19"/>
    <s v="Inefficient"/>
  </r>
  <r>
    <s v="PO-00203"/>
    <x v="0"/>
    <d v="2022-09-29T00:00:00"/>
    <d v="2022-10-14T00:00:00"/>
    <s v="Electronics"/>
    <s v="Delivered"/>
    <n v="1480"/>
    <n v="85.22"/>
    <n v="75.48"/>
    <n v="100"/>
    <s v="Yes"/>
    <d v="2022-10-14T00:00:00"/>
    <s v="Net 30"/>
    <n v="30"/>
    <d v="2022-11-13T00:00:00"/>
    <d v="2022-12-03T00:00:00"/>
    <n v="50"/>
    <x v="0"/>
    <x v="0"/>
    <n v="20"/>
    <s v="Inefficient"/>
  </r>
  <r>
    <s v="PO-00204"/>
    <x v="0"/>
    <d v="2023-06-25T00:00:00"/>
    <m/>
    <s v="Office Supplies"/>
    <s v="Delivered"/>
    <n v="280"/>
    <n v="72.16"/>
    <n v="62.38"/>
    <n v="100"/>
    <s v="Yes"/>
    <d v="1899-12-30T00:00:00"/>
    <s v="Net 30"/>
    <n v="30"/>
    <d v="1900-01-29T00:00:00"/>
    <d v="1900-02-08T00:00:00"/>
    <n v="40"/>
    <x v="0"/>
    <x v="0"/>
    <n v="10"/>
    <s v="Inefficient"/>
  </r>
  <r>
    <s v="PO-00205"/>
    <x v="3"/>
    <d v="2023-09-14T00:00:00"/>
    <d v="2023-09-20T00:00:00"/>
    <s v="Office Supplies"/>
    <s v="Cancelled"/>
    <n v="798"/>
    <n v="19.09"/>
    <n v="17.760000000000002"/>
    <n v="100"/>
    <s v="Yes"/>
    <d v="2023-09-20T00:00:00"/>
    <s v="Net 15"/>
    <n v="15"/>
    <d v="2023-10-05T00:00:00"/>
    <d v="2023-10-09T00:00:00"/>
    <n v="19"/>
    <x v="0"/>
    <x v="1"/>
    <n v="4"/>
    <s v="Inefficient"/>
  </r>
  <r>
    <s v="PO-00206"/>
    <x v="4"/>
    <d v="2023-03-10T00:00:00"/>
    <d v="2023-03-22T00:00:00"/>
    <s v="Electronics"/>
    <s v="Delivered"/>
    <n v="1728"/>
    <n v="94.83"/>
    <n v="90.2"/>
    <n v="100"/>
    <s v="Yes"/>
    <d v="2023-03-22T00:00:00"/>
    <s v="Net 45"/>
    <n v="45"/>
    <d v="2023-05-06T00:00:00"/>
    <d v="2023-05-09T00:00:00"/>
    <n v="48"/>
    <x v="0"/>
    <x v="0"/>
    <n v="3"/>
    <s v="Inefficient"/>
  </r>
  <r>
    <s v="PO-00207"/>
    <x v="4"/>
    <d v="2022-08-05T00:00:00"/>
    <m/>
    <s v="MRO"/>
    <s v="Delivered"/>
    <n v="1244"/>
    <n v="96.13"/>
    <n v="84.78"/>
    <n v="43"/>
    <s v="Yes"/>
    <d v="1899-12-30T00:00:00"/>
    <s v="Net 45"/>
    <n v="45"/>
    <d v="1900-02-13T00:00:00"/>
    <d v="1900-02-10T00:00:00"/>
    <n v="42"/>
    <x v="1"/>
    <x v="0"/>
    <n v="0"/>
    <s v="Efficient"/>
  </r>
  <r>
    <s v="PO-00208"/>
    <x v="3"/>
    <d v="2023-07-07T00:00:00"/>
    <d v="2023-07-21T00:00:00"/>
    <s v="Office Supplies"/>
    <s v="Delivered"/>
    <n v="590"/>
    <n v="16.89"/>
    <n v="15.56"/>
    <n v="46"/>
    <s v="No"/>
    <d v="2023-07-21T00:00:00"/>
    <s v="Net 45"/>
    <n v="45"/>
    <d v="2023-09-04T00:00:00"/>
    <d v="2023-09-17T00:00:00"/>
    <n v="58"/>
    <x v="0"/>
    <x v="0"/>
    <n v="13"/>
    <s v="Inefficient"/>
  </r>
  <r>
    <s v="PO-00209"/>
    <x v="1"/>
    <d v="2023-12-08T00:00:00"/>
    <d v="2023-12-23T00:00:00"/>
    <s v="Packaging"/>
    <s v="Delivered"/>
    <n v="1109"/>
    <n v="38.93"/>
    <n v="33.33"/>
    <n v="152"/>
    <s v="Yes"/>
    <d v="2023-12-23T00:00:00"/>
    <s v="Net 15"/>
    <n v="15"/>
    <d v="2024-01-07T00:00:00"/>
    <d v="2024-01-06T00:00:00"/>
    <n v="14"/>
    <x v="1"/>
    <x v="1"/>
    <n v="0"/>
    <s v="Efficient"/>
  </r>
  <r>
    <s v="PO-00210"/>
    <x v="3"/>
    <d v="2022-07-25T00:00:00"/>
    <d v="2022-08-01T00:00:00"/>
    <s v="MRO"/>
    <s v="Delivered"/>
    <n v="574"/>
    <n v="85.03"/>
    <n v="82.55"/>
    <n v="54"/>
    <s v="Yes"/>
    <d v="2022-08-01T00:00:00"/>
    <s v="Net 30"/>
    <n v="30"/>
    <d v="2022-08-31T00:00:00"/>
    <d v="2022-08-31T00:00:00"/>
    <n v="30"/>
    <x v="1"/>
    <x v="1"/>
    <n v="0"/>
    <s v="Efficient"/>
  </r>
  <r>
    <s v="PO-00211"/>
    <x v="2"/>
    <d v="2024-01-01T00:00:00"/>
    <m/>
    <s v="Office Supplies"/>
    <s v="Delivered"/>
    <n v="1233"/>
    <n v="86.62"/>
    <n v="76.59"/>
    <n v="65"/>
    <s v="Yes"/>
    <d v="1899-12-30T00:00:00"/>
    <s v="Net 15"/>
    <n v="15"/>
    <d v="1900-01-14T00:00:00"/>
    <d v="1900-01-30T00:00:00"/>
    <n v="31"/>
    <x v="0"/>
    <x v="0"/>
    <n v="16"/>
    <s v="Inefficient"/>
  </r>
  <r>
    <s v="PO-00212"/>
    <x v="2"/>
    <d v="2022-11-16T00:00:00"/>
    <d v="2022-11-20T00:00:00"/>
    <s v="Packaging"/>
    <s v="Delivered"/>
    <n v="1912"/>
    <n v="27.94"/>
    <n v="25.59"/>
    <n v="83"/>
    <s v="No"/>
    <d v="2022-11-20T00:00:00"/>
    <s v="Net 45"/>
    <n v="45"/>
    <d v="2023-01-04T00:00:00"/>
    <d v="2023-01-11T00:00:00"/>
    <n v="52"/>
    <x v="0"/>
    <x v="0"/>
    <n v="7"/>
    <s v="Inefficient"/>
  </r>
  <r>
    <s v="PO-00213"/>
    <x v="0"/>
    <d v="2023-02-13T00:00:00"/>
    <d v="2023-03-04T00:00:00"/>
    <s v="Packaging"/>
    <s v="Delivered"/>
    <n v="1772"/>
    <n v="30.72"/>
    <n v="27.76"/>
    <n v="46"/>
    <s v="No"/>
    <d v="2023-03-04T00:00:00"/>
    <s v="Net 15"/>
    <n v="15"/>
    <d v="2023-03-19T00:00:00"/>
    <d v="2023-04-07T00:00:00"/>
    <n v="34"/>
    <x v="0"/>
    <x v="0"/>
    <n v="19"/>
    <s v="Inefficient"/>
  </r>
  <r>
    <s v="PO-00214"/>
    <x v="3"/>
    <d v="2023-11-19T00:00:00"/>
    <d v="2023-11-29T00:00:00"/>
    <s v="Office Supplies"/>
    <s v="Delivered"/>
    <n v="1316"/>
    <n v="48.11"/>
    <n v="41.9"/>
    <n v="135"/>
    <s v="Yes"/>
    <d v="2023-11-29T00:00:00"/>
    <s v="Net 30"/>
    <n v="30"/>
    <d v="2023-12-29T00:00:00"/>
    <d v="2024-01-07T00:00:00"/>
    <n v="39"/>
    <x v="0"/>
    <x v="0"/>
    <n v="9"/>
    <s v="Inefficient"/>
  </r>
  <r>
    <s v="PO-00215"/>
    <x v="3"/>
    <d v="2023-10-28T00:00:00"/>
    <m/>
    <s v="Office Supplies"/>
    <s v="Delivered"/>
    <n v="1159"/>
    <n v="59.24"/>
    <n v="58.08"/>
    <m/>
    <s v="Yes"/>
    <d v="1899-12-30T00:00:00"/>
    <s v="Net 30"/>
    <n v="30"/>
    <d v="1900-01-29T00:00:00"/>
    <d v="1900-02-06T00:00:00"/>
    <n v="38"/>
    <x v="0"/>
    <x v="0"/>
    <n v="8"/>
    <s v="Inefficient"/>
  </r>
  <r>
    <s v="PO-00216"/>
    <x v="0"/>
    <d v="2023-01-18T00:00:00"/>
    <d v="2023-01-31T00:00:00"/>
    <s v="Office Supplies"/>
    <s v="Delivered"/>
    <n v="1869"/>
    <n v="69.58"/>
    <n v="67.5"/>
    <n v="31"/>
    <s v="Yes"/>
    <d v="2023-01-31T00:00:00"/>
    <s v="Net 45"/>
    <n v="45"/>
    <d v="2023-03-17T00:00:00"/>
    <d v="2023-03-13T00:00:00"/>
    <n v="41"/>
    <x v="1"/>
    <x v="0"/>
    <n v="0"/>
    <s v="Efficient"/>
  </r>
  <r>
    <s v="PO-00217"/>
    <x v="1"/>
    <d v="2023-03-25T00:00:00"/>
    <d v="2023-04-13T00:00:00"/>
    <s v="Packaging"/>
    <s v="Delivered"/>
    <n v="627"/>
    <n v="46.23"/>
    <n v="42.87"/>
    <m/>
    <s v="Yes"/>
    <d v="2023-04-13T00:00:00"/>
    <s v="Net 15"/>
    <n v="15"/>
    <d v="2023-04-28T00:00:00"/>
    <d v="2023-05-15T00:00:00"/>
    <n v="32"/>
    <x v="0"/>
    <x v="0"/>
    <n v="17"/>
    <s v="Inefficient"/>
  </r>
  <r>
    <s v="PO-00218"/>
    <x v="3"/>
    <d v="2023-06-14T00:00:00"/>
    <d v="2023-06-16T00:00:00"/>
    <s v="Raw Materials"/>
    <s v="Pending"/>
    <n v="731"/>
    <n v="56.02"/>
    <n v="54.78"/>
    <n v="70"/>
    <s v="No"/>
    <d v="2023-06-16T00:00:00"/>
    <s v="Net 30"/>
    <n v="30"/>
    <d v="2023-07-16T00:00:00"/>
    <d v="2023-07-26T00:00:00"/>
    <n v="40"/>
    <x v="0"/>
    <x v="0"/>
    <n v="10"/>
    <s v="Inefficient"/>
  </r>
  <r>
    <s v="PO-00219"/>
    <x v="4"/>
    <d v="2023-04-08T00:00:00"/>
    <m/>
    <s v="Office Supplies"/>
    <s v="Cancelled"/>
    <n v="606"/>
    <n v="83.07"/>
    <n v="79.22"/>
    <n v="16"/>
    <s v="Yes"/>
    <d v="1899-12-30T00:00:00"/>
    <s v="Net 30"/>
    <n v="30"/>
    <d v="1900-01-29T00:00:00"/>
    <d v="1900-02-06T00:00:00"/>
    <n v="38"/>
    <x v="0"/>
    <x v="0"/>
    <n v="8"/>
    <s v="Inefficient"/>
  </r>
  <r>
    <s v="PO-00220"/>
    <x v="3"/>
    <d v="2022-05-04T00:00:00"/>
    <d v="2022-05-14T00:00:00"/>
    <s v="Office Supplies"/>
    <s v="Delivered"/>
    <n v="1647"/>
    <n v="13.57"/>
    <n v="12.33"/>
    <n v="157"/>
    <s v="Yes"/>
    <d v="2022-05-14T00:00:00"/>
    <s v="Net 30"/>
    <n v="30"/>
    <d v="2022-06-13T00:00:00"/>
    <d v="2022-06-13T00:00:00"/>
    <n v="30"/>
    <x v="1"/>
    <x v="1"/>
    <n v="0"/>
    <s v="Efficient"/>
  </r>
  <r>
    <s v="PO-00221"/>
    <x v="1"/>
    <d v="2022-09-11T00:00:00"/>
    <d v="2022-09-19T00:00:00"/>
    <s v="MRO"/>
    <s v="Delivered"/>
    <n v="1062"/>
    <n v="34.03"/>
    <n v="30.46"/>
    <m/>
    <s v="Yes"/>
    <d v="2022-09-19T00:00:00"/>
    <s v="Net 15"/>
    <n v="15"/>
    <d v="2022-10-04T00:00:00"/>
    <d v="2022-09-29T00:00:00"/>
    <n v="10"/>
    <x v="1"/>
    <x v="1"/>
    <n v="0"/>
    <s v="Efficient"/>
  </r>
  <r>
    <s v="PO-00222"/>
    <x v="3"/>
    <d v="2022-08-19T00:00:00"/>
    <d v="2022-08-31T00:00:00"/>
    <s v="Office Supplies"/>
    <s v="Delivered"/>
    <n v="695"/>
    <n v="76.8"/>
    <n v="69.760000000000005"/>
    <m/>
    <s v="No"/>
    <d v="2022-08-31T00:00:00"/>
    <s v="Net 30"/>
    <n v="30"/>
    <d v="2022-09-30T00:00:00"/>
    <d v="2022-10-08T00:00:00"/>
    <n v="38"/>
    <x v="0"/>
    <x v="0"/>
    <n v="8"/>
    <s v="Inefficient"/>
  </r>
  <r>
    <s v="PO-00223"/>
    <x v="4"/>
    <d v="2022-03-07T00:00:00"/>
    <d v="2022-03-14T00:00:00"/>
    <s v="MRO"/>
    <s v="Delivered"/>
    <n v="845"/>
    <n v="91.47"/>
    <n v="86.97"/>
    <m/>
    <s v="Yes"/>
    <d v="2022-03-14T00:00:00"/>
    <s v="Net 45"/>
    <n v="45"/>
    <d v="2022-04-28T00:00:00"/>
    <d v="2022-04-28T00:00:00"/>
    <n v="45"/>
    <x v="1"/>
    <x v="0"/>
    <n v="0"/>
    <s v="Efficient"/>
  </r>
  <r>
    <s v="PO-00224"/>
    <x v="2"/>
    <d v="2022-12-13T00:00:00"/>
    <d v="2022-12-18T00:00:00"/>
    <s v="MRO"/>
    <s v="Delivered"/>
    <n v="1101"/>
    <n v="59.13"/>
    <n v="52.51"/>
    <n v="54"/>
    <s v="Yes"/>
    <d v="2022-12-18T00:00:00"/>
    <s v="Net 30"/>
    <n v="30"/>
    <d v="2023-01-17T00:00:00"/>
    <d v="2023-01-14T00:00:00"/>
    <n v="27"/>
    <x v="1"/>
    <x v="1"/>
    <n v="0"/>
    <s v="Efficient"/>
  </r>
  <r>
    <s v="PO-00225"/>
    <x v="2"/>
    <d v="2022-01-22T00:00:00"/>
    <d v="2022-01-24T00:00:00"/>
    <s v="Raw Materials"/>
    <s v="Delivered"/>
    <n v="1693"/>
    <n v="57.89"/>
    <n v="49.84"/>
    <n v="88"/>
    <s v="Yes"/>
    <d v="2022-01-24T00:00:00"/>
    <s v="Net 30"/>
    <n v="30"/>
    <d v="2022-02-23T00:00:00"/>
    <d v="2022-02-23T00:00:00"/>
    <n v="30"/>
    <x v="1"/>
    <x v="1"/>
    <n v="0"/>
    <s v="Efficient"/>
  </r>
  <r>
    <s v="PO-00226"/>
    <x v="1"/>
    <d v="2023-08-26T00:00:00"/>
    <d v="2023-09-10T00:00:00"/>
    <s v="Office Supplies"/>
    <s v="Cancelled"/>
    <n v="1629"/>
    <n v="21.51"/>
    <n v="19.41"/>
    <n v="250"/>
    <s v="No"/>
    <d v="2023-09-10T00:00:00"/>
    <s v="Net 15"/>
    <n v="15"/>
    <d v="2023-09-25T00:00:00"/>
    <d v="2023-10-10T00:00:00"/>
    <n v="30"/>
    <x v="0"/>
    <x v="1"/>
    <n v="15"/>
    <s v="Inefficient"/>
  </r>
  <r>
    <s v="PO-00227"/>
    <x v="1"/>
    <d v="2023-07-22T00:00:00"/>
    <d v="2023-08-03T00:00:00"/>
    <s v="Raw Materials"/>
    <s v="Delivered"/>
    <n v="1413"/>
    <n v="54.79"/>
    <n v="50.42"/>
    <m/>
    <s v="Yes"/>
    <d v="2023-08-03T00:00:00"/>
    <s v="Net 30"/>
    <n v="30"/>
    <d v="2023-09-02T00:00:00"/>
    <d v="2023-09-17T00:00:00"/>
    <n v="45"/>
    <x v="0"/>
    <x v="0"/>
    <n v="15"/>
    <s v="Inefficient"/>
  </r>
  <r>
    <s v="PO-00228"/>
    <x v="4"/>
    <d v="2022-08-24T00:00:00"/>
    <d v="2022-08-27T00:00:00"/>
    <s v="Packaging"/>
    <s v="Delivered"/>
    <n v="1871"/>
    <n v="59.96"/>
    <n v="58.54"/>
    <n v="47"/>
    <s v="Yes"/>
    <d v="2022-08-27T00:00:00"/>
    <s v="Net 45"/>
    <n v="45"/>
    <d v="2022-10-11T00:00:00"/>
    <d v="2022-10-16T00:00:00"/>
    <n v="50"/>
    <x v="0"/>
    <x v="0"/>
    <n v="5"/>
    <s v="Inefficient"/>
  </r>
  <r>
    <s v="PO-00229"/>
    <x v="2"/>
    <d v="2023-08-26T00:00:00"/>
    <m/>
    <s v="Raw Materials"/>
    <s v="Delivered"/>
    <n v="1404"/>
    <n v="34.85"/>
    <n v="30.5"/>
    <n v="78"/>
    <s v="Yes"/>
    <d v="1899-12-30T00:00:00"/>
    <s v="Net 45"/>
    <n v="45"/>
    <d v="1900-02-13T00:00:00"/>
    <d v="1900-02-09T00:00:00"/>
    <n v="41"/>
    <x v="1"/>
    <x v="0"/>
    <n v="0"/>
    <s v="Efficient"/>
  </r>
  <r>
    <s v="PO-00230"/>
    <x v="2"/>
    <d v="2022-08-14T00:00:00"/>
    <d v="2022-08-28T00:00:00"/>
    <s v="Electronics"/>
    <s v="Delivered"/>
    <n v="1713"/>
    <n v="35.43"/>
    <n v="34.11"/>
    <n v="74"/>
    <s v="Yes"/>
    <d v="2022-08-28T00:00:00"/>
    <s v="Net 30"/>
    <n v="30"/>
    <d v="2022-09-27T00:00:00"/>
    <d v="2022-10-11T00:00:00"/>
    <n v="44"/>
    <x v="0"/>
    <x v="0"/>
    <n v="14"/>
    <s v="Inefficient"/>
  </r>
  <r>
    <s v="PO-00231"/>
    <x v="2"/>
    <d v="2022-01-08T00:00:00"/>
    <d v="2022-01-13T00:00:00"/>
    <s v="Electronics"/>
    <s v="Delivered"/>
    <n v="1579"/>
    <n v="43.96"/>
    <n v="43.41"/>
    <n v="74"/>
    <s v="Yes"/>
    <d v="2022-01-13T00:00:00"/>
    <s v="Net 45"/>
    <n v="45"/>
    <d v="2022-02-27T00:00:00"/>
    <d v="2022-03-12T00:00:00"/>
    <n v="58"/>
    <x v="0"/>
    <x v="0"/>
    <n v="13"/>
    <s v="Inefficient"/>
  </r>
  <r>
    <s v="PO-00232"/>
    <x v="2"/>
    <d v="2022-03-14T00:00:00"/>
    <d v="2022-03-26T00:00:00"/>
    <s v="Electronics"/>
    <s v="Delivered"/>
    <n v="1421"/>
    <n v="11.92"/>
    <n v="11.72"/>
    <n v="76"/>
    <s v="Yes"/>
    <d v="2022-03-26T00:00:00"/>
    <s v="Net 15"/>
    <n v="15"/>
    <d v="2022-04-10T00:00:00"/>
    <d v="2022-04-22T00:00:00"/>
    <n v="27"/>
    <x v="0"/>
    <x v="1"/>
    <n v="12"/>
    <s v="Inefficient"/>
  </r>
  <r>
    <s v="PO-00233"/>
    <x v="4"/>
    <d v="2023-12-26T00:00:00"/>
    <d v="2024-01-04T00:00:00"/>
    <s v="MRO"/>
    <s v="Delivered"/>
    <n v="1546"/>
    <n v="43.47"/>
    <n v="37.369999999999997"/>
    <n v="53"/>
    <s v="Yes"/>
    <d v="2024-01-04T00:00:00"/>
    <s v="Net 45"/>
    <n v="45"/>
    <d v="2024-02-18T00:00:00"/>
    <d v="2024-02-13T00:00:00"/>
    <n v="40"/>
    <x v="1"/>
    <x v="0"/>
    <n v="0"/>
    <s v="Efficient"/>
  </r>
  <r>
    <s v="PO-00234"/>
    <x v="1"/>
    <d v="2023-10-09T00:00:00"/>
    <d v="2023-10-18T00:00:00"/>
    <s v="Electronics"/>
    <s v="Delivered"/>
    <n v="1304"/>
    <n v="32.08"/>
    <n v="29.36"/>
    <m/>
    <s v="Yes"/>
    <d v="2023-10-18T00:00:00"/>
    <s v="Net 15"/>
    <n v="15"/>
    <d v="2023-11-02T00:00:00"/>
    <d v="2023-11-22T00:00:00"/>
    <n v="35"/>
    <x v="0"/>
    <x v="0"/>
    <n v="20"/>
    <s v="Inefficient"/>
  </r>
  <r>
    <s v="PO-00235"/>
    <x v="1"/>
    <d v="2022-03-02T00:00:00"/>
    <m/>
    <s v="Raw Materials"/>
    <s v="Delivered"/>
    <n v="239"/>
    <n v="39.869999999999997"/>
    <n v="35.47"/>
    <n v="32"/>
    <s v="Yes"/>
    <d v="1899-12-30T00:00:00"/>
    <s v="Net 30"/>
    <n v="30"/>
    <d v="1900-01-29T00:00:00"/>
    <d v="1900-02-17T00:00:00"/>
    <n v="49"/>
    <x v="0"/>
    <x v="0"/>
    <n v="19"/>
    <s v="Inefficient"/>
  </r>
  <r>
    <s v="PO-00236"/>
    <x v="0"/>
    <d v="2022-08-23T00:00:00"/>
    <m/>
    <s v="Office Supplies"/>
    <s v="Delivered"/>
    <n v="1298"/>
    <n v="21.51"/>
    <n v="20.83"/>
    <m/>
    <s v="Yes"/>
    <d v="1899-12-30T00:00:00"/>
    <s v="Net 45"/>
    <n v="45"/>
    <d v="1900-02-13T00:00:00"/>
    <d v="1900-03-02T00:00:00"/>
    <n v="62"/>
    <x v="0"/>
    <x v="2"/>
    <n v="17"/>
    <s v="Inefficient"/>
  </r>
  <r>
    <s v="PO-00237"/>
    <x v="1"/>
    <d v="2022-03-11T00:00:00"/>
    <m/>
    <s v="MRO"/>
    <s v="Delivered"/>
    <n v="1458"/>
    <n v="91.05"/>
    <n v="81.56"/>
    <n v="220"/>
    <s v="Yes"/>
    <d v="1899-12-30T00:00:00"/>
    <s v="Net 45"/>
    <n v="45"/>
    <d v="1900-02-13T00:00:00"/>
    <d v="1900-02-08T00:00:00"/>
    <n v="40"/>
    <x v="1"/>
    <x v="0"/>
    <n v="0"/>
    <s v="Efficient"/>
  </r>
  <r>
    <s v="PO-00238"/>
    <x v="2"/>
    <d v="2022-02-02T00:00:00"/>
    <d v="2022-02-13T00:00:00"/>
    <s v="MRO"/>
    <s v="Delivered"/>
    <n v="1450"/>
    <n v="63.74"/>
    <n v="59.11"/>
    <n v="71"/>
    <s v="Yes"/>
    <d v="2022-02-13T00:00:00"/>
    <s v="Net 30"/>
    <n v="30"/>
    <d v="2022-03-15T00:00:00"/>
    <d v="2022-03-23T00:00:00"/>
    <n v="38"/>
    <x v="0"/>
    <x v="0"/>
    <n v="8"/>
    <s v="Inefficient"/>
  </r>
  <r>
    <s v="PO-00239"/>
    <x v="3"/>
    <d v="2022-12-05T00:00:00"/>
    <d v="2022-12-20T00:00:00"/>
    <s v="Electronics"/>
    <s v="Delivered"/>
    <n v="1356"/>
    <n v="75.03"/>
    <n v="63.86"/>
    <n v="131"/>
    <s v="Yes"/>
    <d v="2022-12-20T00:00:00"/>
    <s v="Net 15"/>
    <n v="15"/>
    <d v="2023-01-04T00:00:00"/>
    <d v="2023-01-08T00:00:00"/>
    <n v="19"/>
    <x v="0"/>
    <x v="1"/>
    <n v="4"/>
    <s v="Inefficient"/>
  </r>
  <r>
    <s v="PO-00240"/>
    <x v="2"/>
    <d v="2022-03-14T00:00:00"/>
    <m/>
    <s v="Packaging"/>
    <s v="Delivered"/>
    <n v="682"/>
    <n v="81.84"/>
    <n v="71.86"/>
    <n v="40"/>
    <s v="Yes"/>
    <d v="1899-12-30T00:00:00"/>
    <s v="Net 45"/>
    <n v="45"/>
    <d v="1900-02-13T00:00:00"/>
    <d v="1900-03-01T00:00:00"/>
    <n v="61"/>
    <x v="0"/>
    <x v="2"/>
    <n v="16"/>
    <s v="Inefficient"/>
  </r>
  <r>
    <s v="PO-00241"/>
    <x v="2"/>
    <d v="2023-06-11T00:00:00"/>
    <d v="2023-06-19T00:00:00"/>
    <s v="Packaging"/>
    <s v="Delivered"/>
    <n v="677"/>
    <n v="59.52"/>
    <n v="55.29"/>
    <n v="39"/>
    <s v="Yes"/>
    <d v="2023-06-19T00:00:00"/>
    <s v="Net 15"/>
    <n v="15"/>
    <d v="2023-07-04T00:00:00"/>
    <d v="2023-07-15T00:00:00"/>
    <n v="26"/>
    <x v="0"/>
    <x v="1"/>
    <n v="11"/>
    <s v="Inefficient"/>
  </r>
  <r>
    <s v="PO-00242"/>
    <x v="1"/>
    <d v="2022-09-01T00:00:00"/>
    <d v="2022-09-14T00:00:00"/>
    <s v="Office Supplies"/>
    <s v="Delivered"/>
    <n v="1022"/>
    <n v="18.54"/>
    <n v="16.55"/>
    <n v="150"/>
    <s v="Yes"/>
    <d v="2022-09-14T00:00:00"/>
    <s v="Net 30"/>
    <n v="30"/>
    <d v="2022-10-14T00:00:00"/>
    <d v="2022-10-23T00:00:00"/>
    <n v="39"/>
    <x v="0"/>
    <x v="0"/>
    <n v="9"/>
    <s v="Inefficient"/>
  </r>
  <r>
    <s v="PO-00243"/>
    <x v="0"/>
    <d v="2022-10-13T00:00:00"/>
    <m/>
    <s v="Raw Materials"/>
    <s v="Delivered"/>
    <n v="1818"/>
    <n v="60.96"/>
    <n v="57.13"/>
    <n v="41"/>
    <s v="Yes"/>
    <d v="1899-12-30T00:00:00"/>
    <s v="Net 45"/>
    <n v="45"/>
    <d v="1900-02-13T00:00:00"/>
    <d v="1900-02-13T00:00:00"/>
    <n v="45"/>
    <x v="1"/>
    <x v="0"/>
    <n v="0"/>
    <s v="Efficient"/>
  </r>
  <r>
    <s v="PO-00244"/>
    <x v="4"/>
    <d v="2023-11-17T00:00:00"/>
    <d v="2023-11-29T00:00:00"/>
    <s v="Electronics"/>
    <s v="Delivered"/>
    <n v="1332"/>
    <n v="69.73"/>
    <n v="63.8"/>
    <n v="41"/>
    <s v="Yes"/>
    <d v="2023-11-29T00:00:00"/>
    <s v="Net 30"/>
    <n v="30"/>
    <d v="2023-12-29T00:00:00"/>
    <d v="2024-01-09T00:00:00"/>
    <n v="41"/>
    <x v="0"/>
    <x v="0"/>
    <n v="11"/>
    <s v="Inefficient"/>
  </r>
  <r>
    <s v="PO-00245"/>
    <x v="3"/>
    <d v="2023-05-13T00:00:00"/>
    <d v="2023-05-26T00:00:00"/>
    <s v="Raw Materials"/>
    <s v="Delivered"/>
    <n v="1432"/>
    <n v="83.26"/>
    <n v="77.67"/>
    <n v="174"/>
    <s v="Yes"/>
    <d v="2023-05-26T00:00:00"/>
    <s v="Net 45"/>
    <n v="45"/>
    <d v="2023-07-10T00:00:00"/>
    <d v="2023-07-22T00:00:00"/>
    <n v="57"/>
    <x v="0"/>
    <x v="0"/>
    <n v="12"/>
    <s v="Inefficient"/>
  </r>
  <r>
    <s v="PO-00246"/>
    <x v="3"/>
    <d v="2022-08-08T00:00:00"/>
    <d v="2022-08-26T00:00:00"/>
    <s v="Packaging"/>
    <s v="Pending"/>
    <n v="759"/>
    <n v="50.56"/>
    <n v="46.47"/>
    <n v="63"/>
    <s v="No"/>
    <d v="2022-08-26T00:00:00"/>
    <s v="Net 30"/>
    <n v="30"/>
    <d v="2022-09-25T00:00:00"/>
    <d v="2022-09-20T00:00:00"/>
    <n v="25"/>
    <x v="1"/>
    <x v="1"/>
    <n v="0"/>
    <s v="Efficient"/>
  </r>
  <r>
    <s v="PO-00247"/>
    <x v="0"/>
    <d v="2023-07-07T00:00:00"/>
    <d v="2023-07-19T00:00:00"/>
    <s v="Packaging"/>
    <s v="Delivered"/>
    <n v="1529"/>
    <n v="23.42"/>
    <n v="22.44"/>
    <n v="30"/>
    <s v="Yes"/>
    <d v="2023-07-19T00:00:00"/>
    <s v="Net 15"/>
    <n v="15"/>
    <d v="2023-08-03T00:00:00"/>
    <d v="2023-07-31T00:00:00"/>
    <n v="12"/>
    <x v="1"/>
    <x v="1"/>
    <n v="0"/>
    <s v="Efficient"/>
  </r>
  <r>
    <s v="PO-00248"/>
    <x v="2"/>
    <d v="2022-05-16T00:00:00"/>
    <d v="2022-05-25T00:00:00"/>
    <s v="Electronics"/>
    <s v="Delivered"/>
    <n v="1484"/>
    <n v="36.25"/>
    <n v="31.8"/>
    <n v="61"/>
    <s v="Yes"/>
    <d v="2022-05-25T00:00:00"/>
    <s v="Net 15"/>
    <n v="15"/>
    <d v="2022-06-09T00:00:00"/>
    <d v="2022-06-29T00:00:00"/>
    <n v="35"/>
    <x v="0"/>
    <x v="0"/>
    <n v="20"/>
    <s v="Inefficient"/>
  </r>
  <r>
    <s v="PO-00249"/>
    <x v="4"/>
    <d v="2023-08-08T00:00:00"/>
    <d v="2023-08-20T00:00:00"/>
    <s v="Packaging"/>
    <s v="Delivered"/>
    <n v="698"/>
    <n v="46.73"/>
    <n v="45.61"/>
    <n v="15"/>
    <s v="Yes"/>
    <d v="2023-08-20T00:00:00"/>
    <s v="Net 45"/>
    <n v="45"/>
    <d v="2023-10-04T00:00:00"/>
    <d v="2023-10-10T00:00:00"/>
    <n v="51"/>
    <x v="0"/>
    <x v="0"/>
    <n v="6"/>
    <s v="Inefficient"/>
  </r>
  <r>
    <s v="PO-00250"/>
    <x v="4"/>
    <d v="2023-08-14T00:00:00"/>
    <d v="2023-08-22T00:00:00"/>
    <s v="Packaging"/>
    <s v="Pending"/>
    <n v="367"/>
    <n v="74.61"/>
    <n v="71.36"/>
    <n v="13"/>
    <s v="Yes"/>
    <d v="2023-08-22T00:00:00"/>
    <s v="Net 30"/>
    <n v="30"/>
    <d v="2023-09-21T00:00:00"/>
    <d v="2023-09-22T00:00:00"/>
    <n v="31"/>
    <x v="0"/>
    <x v="0"/>
    <n v="1"/>
    <s v="Inefficient"/>
  </r>
  <r>
    <s v="PO-00251"/>
    <x v="4"/>
    <d v="2023-04-30T00:00:00"/>
    <d v="2023-05-20T00:00:00"/>
    <s v="Office Supplies"/>
    <s v="Partially Delivered"/>
    <n v="1750"/>
    <n v="65.97"/>
    <n v="58.34"/>
    <n v="50"/>
    <s v="Yes"/>
    <d v="2023-05-20T00:00:00"/>
    <s v="Net 45"/>
    <n v="45"/>
    <d v="2023-07-04T00:00:00"/>
    <d v="2023-07-21T00:00:00"/>
    <n v="62"/>
    <x v="0"/>
    <x v="2"/>
    <n v="17"/>
    <s v="Inefficient"/>
  </r>
  <r>
    <s v="PO-00252"/>
    <x v="1"/>
    <d v="2022-09-06T00:00:00"/>
    <d v="2022-09-24T00:00:00"/>
    <s v="Office Supplies"/>
    <s v="Partially Delivered"/>
    <n v="1298"/>
    <n v="43.73"/>
    <n v="37.21"/>
    <m/>
    <s v="No"/>
    <d v="2022-09-24T00:00:00"/>
    <s v="Net 15"/>
    <n v="15"/>
    <d v="2022-10-09T00:00:00"/>
    <d v="2022-10-22T00:00:00"/>
    <n v="28"/>
    <x v="0"/>
    <x v="1"/>
    <n v="13"/>
    <s v="Inefficient"/>
  </r>
  <r>
    <s v="PO-00253"/>
    <x v="2"/>
    <d v="2023-04-30T00:00:00"/>
    <d v="2023-05-20T00:00:00"/>
    <s v="Packaging"/>
    <s v="Delivered"/>
    <n v="1892"/>
    <n v="106.2"/>
    <n v="96.37"/>
    <n v="93"/>
    <s v="Yes"/>
    <d v="2023-05-20T00:00:00"/>
    <s v="Net 45"/>
    <n v="45"/>
    <d v="2023-07-04T00:00:00"/>
    <d v="2023-07-15T00:00:00"/>
    <n v="56"/>
    <x v="0"/>
    <x v="0"/>
    <n v="11"/>
    <s v="Inefficient"/>
  </r>
  <r>
    <s v="PO-00254"/>
    <x v="3"/>
    <d v="2023-02-21T00:00:00"/>
    <d v="2023-02-24T00:00:00"/>
    <s v="Electronics"/>
    <s v="Delivered"/>
    <n v="1307"/>
    <n v="68.709999999999994"/>
    <n v="60.64"/>
    <n v="141"/>
    <s v="Yes"/>
    <d v="2023-02-24T00:00:00"/>
    <s v="Net 45"/>
    <n v="45"/>
    <d v="2023-04-10T00:00:00"/>
    <d v="2023-04-17T00:00:00"/>
    <n v="52"/>
    <x v="0"/>
    <x v="0"/>
    <n v="7"/>
    <s v="Inefficient"/>
  </r>
  <r>
    <s v="PO-00255"/>
    <x v="3"/>
    <d v="2022-07-14T00:00:00"/>
    <d v="2022-07-29T00:00:00"/>
    <s v="Electronics"/>
    <s v="Delivered"/>
    <n v="733"/>
    <n v="32.29"/>
    <n v="29.01"/>
    <n v="78"/>
    <s v="Yes"/>
    <d v="2022-07-29T00:00:00"/>
    <s v="Net 45"/>
    <n v="45"/>
    <d v="2022-09-12T00:00:00"/>
    <d v="2022-09-14T00:00:00"/>
    <n v="47"/>
    <x v="0"/>
    <x v="0"/>
    <n v="2"/>
    <s v="Inefficient"/>
  </r>
  <r>
    <s v="PO-00256"/>
    <x v="2"/>
    <d v="2022-04-07T00:00:00"/>
    <m/>
    <s v="Packaging"/>
    <s v="Delivered"/>
    <n v="713"/>
    <n v="19.45"/>
    <n v="18.82"/>
    <n v="31"/>
    <s v="Yes"/>
    <d v="1899-12-30T00:00:00"/>
    <s v="Net 45"/>
    <n v="45"/>
    <d v="1900-02-13T00:00:00"/>
    <d v="1900-02-11T00:00:00"/>
    <n v="43"/>
    <x v="1"/>
    <x v="0"/>
    <n v="0"/>
    <s v="Efficient"/>
  </r>
  <r>
    <s v="PO-00257"/>
    <x v="3"/>
    <d v="2022-04-10T00:00:00"/>
    <d v="2022-04-24T00:00:00"/>
    <s v="Packaging"/>
    <s v="Delivered"/>
    <n v="1900"/>
    <n v="24.11"/>
    <n v="23.45"/>
    <n v="188"/>
    <s v="Yes"/>
    <d v="2022-04-24T00:00:00"/>
    <s v="Net 45"/>
    <n v="45"/>
    <d v="2022-06-08T00:00:00"/>
    <d v="2022-06-22T00:00:00"/>
    <n v="59"/>
    <x v="0"/>
    <x v="0"/>
    <n v="14"/>
    <s v="Inefficient"/>
  </r>
  <r>
    <s v="PO-00258"/>
    <x v="1"/>
    <d v="2023-11-06T00:00:00"/>
    <d v="2023-11-08T00:00:00"/>
    <s v="MRO"/>
    <s v="Cancelled"/>
    <n v="1447"/>
    <n v="35.67"/>
    <n v="35.07"/>
    <n v="224"/>
    <s v="No"/>
    <d v="2023-11-08T00:00:00"/>
    <s v="Net 30"/>
    <n v="30"/>
    <d v="2023-12-08T00:00:00"/>
    <d v="2023-12-22T00:00:00"/>
    <n v="44"/>
    <x v="0"/>
    <x v="0"/>
    <n v="14"/>
    <s v="Inefficient"/>
  </r>
  <r>
    <s v="PO-00259"/>
    <x v="4"/>
    <d v="2023-03-18T00:00:00"/>
    <m/>
    <s v="Office Supplies"/>
    <s v="Delivered"/>
    <n v="1745"/>
    <n v="26.17"/>
    <n v="22.25"/>
    <n v="55"/>
    <s v="Yes"/>
    <d v="1899-12-30T00:00:00"/>
    <s v="Net 15"/>
    <n v="15"/>
    <d v="1900-01-14T00:00:00"/>
    <d v="1900-01-15T00:00:00"/>
    <n v="16"/>
    <x v="0"/>
    <x v="1"/>
    <n v="1"/>
    <s v="Inefficient"/>
  </r>
  <r>
    <s v="PO-00260"/>
    <x v="3"/>
    <d v="2022-12-29T00:00:00"/>
    <d v="2023-01-14T00:00:00"/>
    <s v="Office Supplies"/>
    <s v="Delivered"/>
    <n v="1681"/>
    <n v="28.26"/>
    <n v="26.62"/>
    <n v="143"/>
    <s v="Yes"/>
    <d v="2023-01-14T00:00:00"/>
    <s v="Net 30"/>
    <n v="30"/>
    <d v="2023-02-13T00:00:00"/>
    <d v="2023-02-19T00:00:00"/>
    <n v="36"/>
    <x v="0"/>
    <x v="0"/>
    <n v="6"/>
    <s v="Inefficient"/>
  </r>
  <r>
    <s v="PO-00261"/>
    <x v="1"/>
    <d v="2023-03-10T00:00:00"/>
    <d v="2023-03-18T00:00:00"/>
    <s v="Electronics"/>
    <s v="Delivered"/>
    <n v="1545"/>
    <n v="38.15"/>
    <n v="36.96"/>
    <n v="214"/>
    <s v="Yes"/>
    <d v="2023-03-18T00:00:00"/>
    <s v="Net 45"/>
    <n v="45"/>
    <d v="2023-05-02T00:00:00"/>
    <d v="2023-05-03T00:00:00"/>
    <n v="46"/>
    <x v="0"/>
    <x v="0"/>
    <n v="1"/>
    <s v="Inefficient"/>
  </r>
  <r>
    <s v="PO-00262"/>
    <x v="4"/>
    <d v="2023-02-25T00:00:00"/>
    <d v="2023-03-02T00:00:00"/>
    <s v="Raw Materials"/>
    <s v="Delivered"/>
    <n v="1306"/>
    <n v="27.27"/>
    <n v="25.96"/>
    <n v="39"/>
    <s v="Yes"/>
    <d v="2023-03-02T00:00:00"/>
    <s v="Net 45"/>
    <n v="45"/>
    <d v="2023-04-16T00:00:00"/>
    <d v="2023-04-18T00:00:00"/>
    <n v="47"/>
    <x v="0"/>
    <x v="0"/>
    <n v="2"/>
    <s v="Inefficient"/>
  </r>
  <r>
    <s v="PO-00263"/>
    <x v="2"/>
    <d v="2023-04-24T00:00:00"/>
    <d v="2023-05-06T00:00:00"/>
    <s v="Raw Materials"/>
    <s v="Delivered"/>
    <n v="1765"/>
    <n v="97.51"/>
    <n v="84.3"/>
    <n v="65"/>
    <s v="Yes"/>
    <d v="2023-05-06T00:00:00"/>
    <s v="Net 45"/>
    <n v="45"/>
    <d v="2023-06-20T00:00:00"/>
    <d v="2023-06-28T00:00:00"/>
    <n v="53"/>
    <x v="0"/>
    <x v="0"/>
    <n v="8"/>
    <s v="Inefficient"/>
  </r>
  <r>
    <s v="PO-00264"/>
    <x v="2"/>
    <d v="2022-02-25T00:00:00"/>
    <d v="2022-03-15T00:00:00"/>
    <s v="Packaging"/>
    <s v="Cancelled"/>
    <n v="1186"/>
    <n v="17.309999999999999"/>
    <n v="16"/>
    <n v="64"/>
    <s v="Yes"/>
    <d v="2022-03-15T00:00:00"/>
    <s v="Net 30"/>
    <n v="30"/>
    <d v="2022-04-14T00:00:00"/>
    <d v="2022-04-27T00:00:00"/>
    <n v="43"/>
    <x v="0"/>
    <x v="0"/>
    <n v="13"/>
    <s v="Inefficient"/>
  </r>
  <r>
    <s v="PO-00265"/>
    <x v="1"/>
    <d v="2023-11-21T00:00:00"/>
    <d v="2023-11-26T00:00:00"/>
    <s v="Packaging"/>
    <s v="Delivered"/>
    <n v="1903"/>
    <n v="63.5"/>
    <n v="56.09"/>
    <n v="254"/>
    <s v="Yes"/>
    <d v="2023-11-26T00:00:00"/>
    <s v="Net 30"/>
    <n v="30"/>
    <d v="2023-12-26T00:00:00"/>
    <d v="2023-12-30T00:00:00"/>
    <n v="34"/>
    <x v="0"/>
    <x v="0"/>
    <n v="4"/>
    <s v="Inefficient"/>
  </r>
  <r>
    <s v="PO-00266"/>
    <x v="1"/>
    <d v="2023-11-01T00:00:00"/>
    <d v="2023-11-05T00:00:00"/>
    <s v="MRO"/>
    <s v="Delivered"/>
    <n v="1570"/>
    <n v="52.1"/>
    <n v="47.87"/>
    <m/>
    <s v="No"/>
    <d v="2023-11-05T00:00:00"/>
    <s v="Net 45"/>
    <n v="45"/>
    <d v="2023-12-20T00:00:00"/>
    <d v="2024-01-02T00:00:00"/>
    <n v="58"/>
    <x v="0"/>
    <x v="0"/>
    <n v="13"/>
    <s v="Inefficient"/>
  </r>
  <r>
    <s v="PO-00267"/>
    <x v="1"/>
    <d v="2023-10-24T00:00:00"/>
    <d v="2023-11-13T00:00:00"/>
    <s v="MRO"/>
    <s v="Delivered"/>
    <n v="491"/>
    <n v="108.75"/>
    <n v="93.35"/>
    <m/>
    <s v="No"/>
    <d v="2023-11-13T00:00:00"/>
    <s v="Net 45"/>
    <n v="45"/>
    <d v="2023-12-28T00:00:00"/>
    <d v="2024-01-14T00:00:00"/>
    <n v="62"/>
    <x v="0"/>
    <x v="2"/>
    <n v="17"/>
    <s v="Inefficient"/>
  </r>
  <r>
    <s v="PO-00268"/>
    <x v="3"/>
    <d v="2022-04-11T00:00:00"/>
    <d v="2022-04-20T00:00:00"/>
    <s v="Electronics"/>
    <s v="Partially Delivered"/>
    <n v="613"/>
    <n v="20.38"/>
    <n v="20.170000000000002"/>
    <n v="58"/>
    <s v="Yes"/>
    <d v="2022-04-20T00:00:00"/>
    <s v="Net 45"/>
    <n v="45"/>
    <d v="2022-06-04T00:00:00"/>
    <d v="2022-06-12T00:00:00"/>
    <n v="53"/>
    <x v="0"/>
    <x v="0"/>
    <n v="8"/>
    <s v="Inefficient"/>
  </r>
  <r>
    <s v="PO-00269"/>
    <x v="2"/>
    <d v="2022-03-04T00:00:00"/>
    <d v="2022-03-16T00:00:00"/>
    <s v="Raw Materials"/>
    <s v="Partially Delivered"/>
    <n v="1341"/>
    <n v="46.27"/>
    <n v="43.94"/>
    <n v="63"/>
    <s v="Yes"/>
    <d v="2022-03-16T00:00:00"/>
    <s v="Net 30"/>
    <n v="30"/>
    <d v="2022-04-15T00:00:00"/>
    <d v="2022-05-04T00:00:00"/>
    <n v="49"/>
    <x v="0"/>
    <x v="0"/>
    <n v="19"/>
    <s v="Inefficient"/>
  </r>
  <r>
    <s v="PO-00270"/>
    <x v="3"/>
    <d v="2023-02-17T00:00:00"/>
    <d v="2023-03-04T00:00:00"/>
    <s v="MRO"/>
    <s v="Partially Delivered"/>
    <n v="1583"/>
    <n v="103.57"/>
    <n v="89.38"/>
    <n v="164"/>
    <s v="Yes"/>
    <d v="2023-03-04T00:00:00"/>
    <s v="Net 15"/>
    <n v="15"/>
    <d v="2023-03-19T00:00:00"/>
    <d v="2023-03-27T00:00:00"/>
    <n v="23"/>
    <x v="0"/>
    <x v="1"/>
    <n v="8"/>
    <s v="Inefficient"/>
  </r>
  <r>
    <s v="PO-00271"/>
    <x v="3"/>
    <d v="2022-12-14T00:00:00"/>
    <m/>
    <s v="Raw Materials"/>
    <s v="Cancelled"/>
    <n v="1880"/>
    <n v="92.73"/>
    <n v="90.78"/>
    <n v="173"/>
    <s v="Yes"/>
    <d v="1899-12-30T00:00:00"/>
    <s v="Net 45"/>
    <n v="45"/>
    <d v="1900-02-13T00:00:00"/>
    <d v="1900-02-19T00:00:00"/>
    <n v="51"/>
    <x v="0"/>
    <x v="0"/>
    <n v="6"/>
    <s v="Inefficient"/>
  </r>
  <r>
    <s v="PO-00272"/>
    <x v="4"/>
    <d v="2022-04-22T00:00:00"/>
    <d v="2022-04-26T00:00:00"/>
    <s v="MRO"/>
    <s v="Delivered"/>
    <n v="1459"/>
    <n v="84.79"/>
    <n v="82.72"/>
    <n v="47"/>
    <s v="Yes"/>
    <d v="2022-04-26T00:00:00"/>
    <s v="Net 15"/>
    <n v="15"/>
    <d v="2022-05-11T00:00:00"/>
    <d v="2022-05-12T00:00:00"/>
    <n v="16"/>
    <x v="0"/>
    <x v="1"/>
    <n v="1"/>
    <s v="Inefficient"/>
  </r>
  <r>
    <s v="PO-00273"/>
    <x v="1"/>
    <d v="2022-09-12T00:00:00"/>
    <m/>
    <s v="Office Supplies"/>
    <s v="Delivered"/>
    <n v="1460"/>
    <n v="34.54"/>
    <n v="31.87"/>
    <n v="208"/>
    <s v="No"/>
    <d v="1899-12-30T00:00:00"/>
    <s v="Net 30"/>
    <n v="30"/>
    <d v="1900-01-29T00:00:00"/>
    <d v="1900-02-02T00:00:00"/>
    <n v="34"/>
    <x v="0"/>
    <x v="0"/>
    <n v="4"/>
    <s v="Inefficient"/>
  </r>
  <r>
    <s v="PO-00274"/>
    <x v="3"/>
    <d v="2022-07-16T00:00:00"/>
    <d v="2022-07-28T00:00:00"/>
    <s v="Packaging"/>
    <s v="Partially Delivered"/>
    <n v="1186"/>
    <n v="26.14"/>
    <n v="24.78"/>
    <n v="112"/>
    <s v="Yes"/>
    <d v="2022-07-28T00:00:00"/>
    <s v="Net 15"/>
    <n v="15"/>
    <d v="2022-08-12T00:00:00"/>
    <d v="2022-08-14T00:00:00"/>
    <n v="17"/>
    <x v="0"/>
    <x v="1"/>
    <n v="2"/>
    <s v="Inefficient"/>
  </r>
  <r>
    <s v="PO-00275"/>
    <x v="4"/>
    <d v="2022-07-14T00:00:00"/>
    <d v="2022-07-23T00:00:00"/>
    <s v="MRO"/>
    <s v="Pending"/>
    <n v="1686"/>
    <n v="72.28"/>
    <n v="65.209999999999994"/>
    <n v="53"/>
    <s v="Yes"/>
    <d v="2022-07-23T00:00:00"/>
    <s v="Net 45"/>
    <n v="45"/>
    <d v="2022-09-06T00:00:00"/>
    <d v="2022-09-07T00:00:00"/>
    <n v="46"/>
    <x v="0"/>
    <x v="0"/>
    <n v="1"/>
    <s v="Inefficient"/>
  </r>
  <r>
    <s v="PO-00276"/>
    <x v="0"/>
    <d v="2023-07-04T00:00:00"/>
    <d v="2023-07-08T00:00:00"/>
    <s v="MRO"/>
    <s v="Delivered"/>
    <n v="1698"/>
    <n v="102.07"/>
    <n v="100.69"/>
    <n v="28"/>
    <s v="Yes"/>
    <d v="2023-07-08T00:00:00"/>
    <s v="Net 15"/>
    <n v="15"/>
    <d v="2023-07-23T00:00:00"/>
    <d v="2023-08-03T00:00:00"/>
    <n v="26"/>
    <x v="0"/>
    <x v="1"/>
    <n v="11"/>
    <s v="Inefficient"/>
  </r>
  <r>
    <s v="PO-00277"/>
    <x v="4"/>
    <d v="2023-04-05T00:00:00"/>
    <m/>
    <s v="Electronics"/>
    <s v="Delivered"/>
    <n v="1001"/>
    <n v="64.62"/>
    <n v="55.7"/>
    <n v="32"/>
    <s v="Yes"/>
    <d v="1899-12-30T00:00:00"/>
    <s v="Net 45"/>
    <n v="45"/>
    <d v="1900-02-13T00:00:00"/>
    <d v="1900-02-09T00:00:00"/>
    <n v="41"/>
    <x v="1"/>
    <x v="0"/>
    <n v="0"/>
    <s v="Efficient"/>
  </r>
  <r>
    <s v="PO-00278"/>
    <x v="0"/>
    <d v="2022-05-24T00:00:00"/>
    <d v="2022-05-27T00:00:00"/>
    <s v="Office Supplies"/>
    <s v="Delivered"/>
    <n v="1154"/>
    <n v="62.67"/>
    <n v="54.11"/>
    <n v="25"/>
    <s v="Yes"/>
    <d v="2022-05-27T00:00:00"/>
    <s v="Net 30"/>
    <n v="30"/>
    <d v="2022-06-26T00:00:00"/>
    <d v="2022-07-08T00:00:00"/>
    <n v="42"/>
    <x v="0"/>
    <x v="0"/>
    <n v="12"/>
    <s v="Inefficient"/>
  </r>
  <r>
    <s v="PO-00279"/>
    <x v="0"/>
    <d v="2023-03-09T00:00:00"/>
    <d v="2023-03-29T00:00:00"/>
    <s v="Packaging"/>
    <s v="Cancelled"/>
    <n v="748"/>
    <n v="37.659999999999997"/>
    <n v="32.71"/>
    <m/>
    <s v="No"/>
    <d v="2023-03-29T00:00:00"/>
    <s v="Net 45"/>
    <n v="45"/>
    <d v="2023-05-13T00:00:00"/>
    <d v="2023-06-02T00:00:00"/>
    <n v="65"/>
    <x v="0"/>
    <x v="2"/>
    <n v="20"/>
    <s v="Inefficient"/>
  </r>
  <r>
    <s v="PO-00280"/>
    <x v="0"/>
    <d v="2022-07-07T00:00:00"/>
    <m/>
    <s v="Office Supplies"/>
    <s v="Delivered"/>
    <n v="162"/>
    <n v="81.63"/>
    <n v="78.760000000000005"/>
    <n v="2"/>
    <s v="Yes"/>
    <d v="1899-12-30T00:00:00"/>
    <s v="Net 30"/>
    <n v="30"/>
    <d v="1900-01-29T00:00:00"/>
    <d v="1900-02-09T00:00:00"/>
    <n v="41"/>
    <x v="0"/>
    <x v="0"/>
    <n v="11"/>
    <s v="Inefficient"/>
  </r>
  <r>
    <s v="PO-00281"/>
    <x v="0"/>
    <d v="2022-10-13T00:00:00"/>
    <d v="2022-10-24T00:00:00"/>
    <s v="Packaging"/>
    <s v="Delivered"/>
    <n v="51"/>
    <n v="28.04"/>
    <n v="24.13"/>
    <n v="0"/>
    <s v="Yes"/>
    <d v="2022-10-24T00:00:00"/>
    <s v="Net 45"/>
    <n v="45"/>
    <d v="2022-12-08T00:00:00"/>
    <d v="2022-12-03T00:00:00"/>
    <n v="40"/>
    <x v="1"/>
    <x v="0"/>
    <n v="0"/>
    <s v="Efficient"/>
  </r>
  <r>
    <s v="PO-00282"/>
    <x v="1"/>
    <d v="2023-04-19T00:00:00"/>
    <d v="2023-04-24T00:00:00"/>
    <s v="Office Supplies"/>
    <s v="Delivered"/>
    <n v="691"/>
    <n v="42.07"/>
    <n v="39.1"/>
    <n v="106"/>
    <s v="Yes"/>
    <d v="2023-04-24T00:00:00"/>
    <s v="Net 45"/>
    <n v="45"/>
    <d v="2023-06-08T00:00:00"/>
    <d v="2023-06-16T00:00:00"/>
    <n v="53"/>
    <x v="0"/>
    <x v="0"/>
    <n v="8"/>
    <s v="Inefficient"/>
  </r>
  <r>
    <s v="PO-00283"/>
    <x v="3"/>
    <d v="2022-09-13T00:00:00"/>
    <d v="2022-09-20T00:00:00"/>
    <s v="Office Supplies"/>
    <s v="Delivered"/>
    <n v="269"/>
    <n v="50.22"/>
    <n v="45.75"/>
    <n v="32"/>
    <s v="No"/>
    <d v="2022-09-20T00:00:00"/>
    <s v="Net 15"/>
    <n v="15"/>
    <d v="2022-10-05T00:00:00"/>
    <d v="2022-09-30T00:00:00"/>
    <n v="10"/>
    <x v="1"/>
    <x v="1"/>
    <n v="0"/>
    <s v="Efficient"/>
  </r>
  <r>
    <s v="PO-00284"/>
    <x v="3"/>
    <d v="2022-03-19T00:00:00"/>
    <d v="2022-04-06T00:00:00"/>
    <s v="Electronics"/>
    <s v="Pending"/>
    <n v="1639"/>
    <n v="56.24"/>
    <n v="55.4"/>
    <n v="147"/>
    <s v="Yes"/>
    <d v="2022-04-06T00:00:00"/>
    <s v="Net 15"/>
    <n v="15"/>
    <d v="2022-04-21T00:00:00"/>
    <d v="2022-05-01T00:00:00"/>
    <n v="25"/>
    <x v="0"/>
    <x v="1"/>
    <n v="10"/>
    <s v="Inefficient"/>
  </r>
  <r>
    <s v="PO-00285"/>
    <x v="0"/>
    <d v="2023-03-30T00:00:00"/>
    <d v="2023-04-06T00:00:00"/>
    <s v="Raw Materials"/>
    <s v="Delivered"/>
    <n v="904"/>
    <n v="34.04"/>
    <n v="30.06"/>
    <n v="26"/>
    <s v="Yes"/>
    <d v="2023-04-06T00:00:00"/>
    <s v="Net 30"/>
    <n v="30"/>
    <d v="2023-05-06T00:00:00"/>
    <d v="2023-05-02T00:00:00"/>
    <n v="26"/>
    <x v="1"/>
    <x v="1"/>
    <n v="0"/>
    <s v="Efficient"/>
  </r>
  <r>
    <s v="PO-00286"/>
    <x v="3"/>
    <d v="2023-07-18T00:00:00"/>
    <d v="2023-07-26T00:00:00"/>
    <s v="Office Supplies"/>
    <s v="Delivered"/>
    <n v="1809"/>
    <n v="22.17"/>
    <n v="19.649999999999999"/>
    <m/>
    <s v="Yes"/>
    <d v="2023-07-26T00:00:00"/>
    <s v="Net 15"/>
    <n v="15"/>
    <d v="2023-08-10T00:00:00"/>
    <d v="2023-08-23T00:00:00"/>
    <n v="28"/>
    <x v="0"/>
    <x v="1"/>
    <n v="13"/>
    <s v="Inefficient"/>
  </r>
  <r>
    <s v="PO-00287"/>
    <x v="0"/>
    <d v="2022-04-11T00:00:00"/>
    <d v="2022-04-16T00:00:00"/>
    <s v="Packaging"/>
    <s v="Delivered"/>
    <n v="1298"/>
    <n v="65.930000000000007"/>
    <n v="58.95"/>
    <m/>
    <s v="Yes"/>
    <d v="2022-04-16T00:00:00"/>
    <s v="Net 30"/>
    <n v="30"/>
    <d v="2022-05-16T00:00:00"/>
    <d v="2022-05-31T00:00:00"/>
    <n v="45"/>
    <x v="0"/>
    <x v="0"/>
    <n v="15"/>
    <s v="Inefficient"/>
  </r>
  <r>
    <s v="PO-00288"/>
    <x v="3"/>
    <d v="2022-02-21T00:00:00"/>
    <d v="2022-03-13T00:00:00"/>
    <s v="Packaging"/>
    <s v="Delivered"/>
    <n v="434"/>
    <n v="36.159999999999997"/>
    <n v="34.79"/>
    <n v="41"/>
    <s v="Yes"/>
    <d v="2022-03-13T00:00:00"/>
    <s v="Net 15"/>
    <n v="15"/>
    <d v="2022-03-28T00:00:00"/>
    <d v="2022-03-31T00:00:00"/>
    <n v="18"/>
    <x v="0"/>
    <x v="1"/>
    <n v="3"/>
    <s v="Inefficient"/>
  </r>
  <r>
    <s v="PO-00289"/>
    <x v="4"/>
    <d v="2023-10-30T00:00:00"/>
    <d v="2023-11-04T00:00:00"/>
    <s v="Electronics"/>
    <s v="Delivered"/>
    <n v="1476"/>
    <n v="68.849999999999994"/>
    <n v="65.28"/>
    <n v="43"/>
    <s v="Yes"/>
    <d v="2023-11-04T00:00:00"/>
    <s v="Net 30"/>
    <n v="30"/>
    <d v="2023-12-04T00:00:00"/>
    <d v="2023-11-29T00:00:00"/>
    <n v="25"/>
    <x v="1"/>
    <x v="1"/>
    <n v="0"/>
    <s v="Efficient"/>
  </r>
  <r>
    <s v="PO-00290"/>
    <x v="1"/>
    <d v="2023-07-08T00:00:00"/>
    <m/>
    <s v="Raw Materials"/>
    <s v="Partially Delivered"/>
    <n v="1711"/>
    <n v="26.04"/>
    <n v="24.81"/>
    <n v="290"/>
    <s v="Yes"/>
    <d v="1899-12-30T00:00:00"/>
    <s v="Net 45"/>
    <n v="45"/>
    <d v="1900-02-13T00:00:00"/>
    <d v="1900-02-27T00:00:00"/>
    <n v="59"/>
    <x v="0"/>
    <x v="0"/>
    <n v="14"/>
    <s v="Inefficient"/>
  </r>
  <r>
    <s v="PO-00291"/>
    <x v="2"/>
    <d v="2022-01-16T00:00:00"/>
    <d v="2022-01-22T00:00:00"/>
    <s v="Packaging"/>
    <s v="Delivered"/>
    <n v="1203"/>
    <n v="53.3"/>
    <n v="47.68"/>
    <n v="49"/>
    <s v="Yes"/>
    <d v="2022-01-22T00:00:00"/>
    <s v="Net 15"/>
    <n v="15"/>
    <d v="2022-02-06T00:00:00"/>
    <d v="2022-02-06T00:00:00"/>
    <n v="15"/>
    <x v="1"/>
    <x v="1"/>
    <n v="0"/>
    <s v="Efficient"/>
  </r>
  <r>
    <s v="PO-00292"/>
    <x v="0"/>
    <d v="2022-04-06T00:00:00"/>
    <d v="2022-04-07T00:00:00"/>
    <s v="Electronics"/>
    <s v="Delivered"/>
    <n v="1126"/>
    <n v="58.8"/>
    <n v="52.22"/>
    <m/>
    <s v="Yes"/>
    <d v="2022-04-07T00:00:00"/>
    <s v="Net 30"/>
    <n v="30"/>
    <d v="2022-05-07T00:00:00"/>
    <d v="2022-05-24T00:00:00"/>
    <n v="47"/>
    <x v="0"/>
    <x v="0"/>
    <n v="17"/>
    <s v="Inefficient"/>
  </r>
  <r>
    <s v="PO-00293"/>
    <x v="4"/>
    <d v="2022-08-31T00:00:00"/>
    <d v="2022-09-12T00:00:00"/>
    <s v="Packaging"/>
    <s v="Delivered"/>
    <n v="1757"/>
    <n v="15.18"/>
    <n v="13.06"/>
    <n v="63"/>
    <s v="Yes"/>
    <d v="2022-09-12T00:00:00"/>
    <s v="Net 45"/>
    <n v="45"/>
    <d v="2022-10-27T00:00:00"/>
    <d v="2022-11-07T00:00:00"/>
    <n v="56"/>
    <x v="0"/>
    <x v="0"/>
    <n v="11"/>
    <s v="Inefficient"/>
  </r>
  <r>
    <s v="PO-00294"/>
    <x v="4"/>
    <d v="2022-06-20T00:00:00"/>
    <d v="2022-06-28T00:00:00"/>
    <s v="MRO"/>
    <s v="Delivered"/>
    <n v="779"/>
    <n v="41.3"/>
    <n v="36.28"/>
    <n v="20"/>
    <s v="Yes"/>
    <d v="2022-06-28T00:00:00"/>
    <s v="Net 15"/>
    <n v="15"/>
    <d v="2022-07-13T00:00:00"/>
    <d v="2022-07-25T00:00:00"/>
    <n v="27"/>
    <x v="0"/>
    <x v="1"/>
    <n v="12"/>
    <s v="Inefficient"/>
  </r>
  <r>
    <s v="PO-00295"/>
    <x v="1"/>
    <d v="2023-02-21T00:00:00"/>
    <d v="2023-02-22T00:00:00"/>
    <s v="Office Supplies"/>
    <s v="Delivered"/>
    <n v="1745"/>
    <n v="23.53"/>
    <n v="22.57"/>
    <n v="282"/>
    <s v="No"/>
    <d v="2023-02-22T00:00:00"/>
    <s v="Net 45"/>
    <n v="45"/>
    <d v="2023-04-08T00:00:00"/>
    <d v="2023-04-13T00:00:00"/>
    <n v="50"/>
    <x v="0"/>
    <x v="0"/>
    <n v="5"/>
    <s v="Inefficient"/>
  </r>
  <r>
    <s v="PO-00296"/>
    <x v="1"/>
    <d v="2023-05-13T00:00:00"/>
    <d v="2023-05-15T00:00:00"/>
    <s v="Raw Materials"/>
    <s v="Delivered"/>
    <n v="1783"/>
    <n v="16.96"/>
    <n v="15.8"/>
    <n v="295"/>
    <s v="Yes"/>
    <d v="2023-05-15T00:00:00"/>
    <s v="Net 15"/>
    <n v="15"/>
    <d v="2023-05-30T00:00:00"/>
    <d v="2023-06-16T00:00:00"/>
    <n v="32"/>
    <x v="0"/>
    <x v="0"/>
    <n v="17"/>
    <s v="Inefficient"/>
  </r>
  <r>
    <s v="PO-00297"/>
    <x v="0"/>
    <d v="2023-05-08T00:00:00"/>
    <d v="2023-05-22T00:00:00"/>
    <s v="Office Supplies"/>
    <s v="Partially Delivered"/>
    <n v="1489"/>
    <n v="107.02"/>
    <n v="93.3"/>
    <m/>
    <s v="Yes"/>
    <d v="2023-05-22T00:00:00"/>
    <s v="Net 45"/>
    <n v="45"/>
    <d v="2023-07-06T00:00:00"/>
    <d v="2023-07-23T00:00:00"/>
    <n v="62"/>
    <x v="0"/>
    <x v="2"/>
    <n v="17"/>
    <s v="Inefficient"/>
  </r>
  <r>
    <s v="PO-00298"/>
    <x v="0"/>
    <d v="2022-08-07T00:00:00"/>
    <d v="2022-08-10T00:00:00"/>
    <s v="Office Supplies"/>
    <s v="Delivered"/>
    <n v="296"/>
    <n v="40.380000000000003"/>
    <n v="35.25"/>
    <m/>
    <s v="Yes"/>
    <d v="2022-08-10T00:00:00"/>
    <s v="Net 15"/>
    <n v="15"/>
    <d v="2022-08-25T00:00:00"/>
    <d v="2022-08-21T00:00:00"/>
    <n v="11"/>
    <x v="1"/>
    <x v="1"/>
    <n v="0"/>
    <s v="Efficient"/>
  </r>
  <r>
    <s v="PO-00299"/>
    <x v="4"/>
    <d v="2023-02-15T00:00:00"/>
    <d v="2023-02-27T00:00:00"/>
    <s v="MRO"/>
    <s v="Delivered"/>
    <n v="885"/>
    <n v="88.28"/>
    <n v="80.8"/>
    <n v="31"/>
    <s v="Yes"/>
    <d v="2023-02-27T00:00:00"/>
    <s v="Net 30"/>
    <n v="30"/>
    <d v="2023-03-29T00:00:00"/>
    <d v="2023-04-10T00:00:00"/>
    <n v="42"/>
    <x v="0"/>
    <x v="0"/>
    <n v="12"/>
    <s v="Inefficient"/>
  </r>
  <r>
    <s v="PO-00300"/>
    <x v="4"/>
    <d v="2022-03-02T00:00:00"/>
    <d v="2022-03-06T00:00:00"/>
    <s v="Raw Materials"/>
    <s v="Pending"/>
    <n v="1512"/>
    <n v="33.25"/>
    <n v="30.15"/>
    <n v="53"/>
    <s v="Yes"/>
    <d v="2022-03-06T00:00:00"/>
    <s v="Net 30"/>
    <n v="30"/>
    <d v="2022-04-05T00:00:00"/>
    <d v="2022-04-10T00:00:00"/>
    <n v="35"/>
    <x v="0"/>
    <x v="0"/>
    <n v="5"/>
    <s v="Inefficient"/>
  </r>
  <r>
    <s v="PO-00301"/>
    <x v="1"/>
    <d v="2022-06-18T00:00:00"/>
    <d v="2022-06-26T00:00:00"/>
    <s v="Office Supplies"/>
    <s v="Delivered"/>
    <n v="252"/>
    <n v="73.12"/>
    <n v="67.64"/>
    <m/>
    <s v="No"/>
    <d v="2022-06-26T00:00:00"/>
    <s v="Net 15"/>
    <n v="15"/>
    <d v="2022-07-11T00:00:00"/>
    <d v="2022-07-25T00:00:00"/>
    <n v="29"/>
    <x v="0"/>
    <x v="1"/>
    <n v="14"/>
    <s v="Inefficient"/>
  </r>
  <r>
    <s v="PO-00302"/>
    <x v="0"/>
    <d v="2023-01-24T00:00:00"/>
    <m/>
    <s v="Electronics"/>
    <s v="Cancelled"/>
    <n v="1257"/>
    <n v="83.13"/>
    <n v="81.89"/>
    <n v="30"/>
    <s v="Yes"/>
    <d v="1899-12-30T00:00:00"/>
    <s v="Net 30"/>
    <n v="30"/>
    <d v="1900-01-29T00:00:00"/>
    <d v="1900-02-04T00:00:00"/>
    <n v="36"/>
    <x v="0"/>
    <x v="0"/>
    <n v="6"/>
    <s v="Inefficient"/>
  </r>
  <r>
    <s v="PO-00303"/>
    <x v="0"/>
    <d v="2022-01-03T00:00:00"/>
    <d v="2022-01-20T00:00:00"/>
    <s v="Packaging"/>
    <s v="Delivered"/>
    <n v="172"/>
    <n v="63.61"/>
    <n v="55.92"/>
    <n v="4"/>
    <s v="Yes"/>
    <d v="2022-01-20T00:00:00"/>
    <s v="Net 45"/>
    <n v="45"/>
    <d v="2022-03-06T00:00:00"/>
    <d v="2022-03-25T00:00:00"/>
    <n v="64"/>
    <x v="0"/>
    <x v="2"/>
    <n v="19"/>
    <s v="Inefficient"/>
  </r>
  <r>
    <s v="PO-00304"/>
    <x v="4"/>
    <d v="2023-02-04T00:00:00"/>
    <d v="2023-02-05T00:00:00"/>
    <s v="Packaging"/>
    <s v="Pending"/>
    <n v="450"/>
    <n v="55.85"/>
    <n v="49.88"/>
    <n v="9"/>
    <s v="Yes"/>
    <d v="2023-02-05T00:00:00"/>
    <s v="Net 15"/>
    <n v="15"/>
    <d v="2023-02-20T00:00:00"/>
    <d v="2023-02-15T00:00:00"/>
    <n v="10"/>
    <x v="1"/>
    <x v="1"/>
    <n v="0"/>
    <s v="Efficient"/>
  </r>
  <r>
    <s v="PO-00305"/>
    <x v="2"/>
    <d v="2022-09-29T00:00:00"/>
    <d v="2022-10-15T00:00:00"/>
    <s v="Electronics"/>
    <s v="Delivered"/>
    <n v="816"/>
    <n v="48.95"/>
    <n v="43.42"/>
    <n v="45"/>
    <s v="Yes"/>
    <d v="2022-10-15T00:00:00"/>
    <s v="Net 30"/>
    <n v="30"/>
    <d v="2022-11-14T00:00:00"/>
    <d v="2022-11-11T00:00:00"/>
    <n v="27"/>
    <x v="1"/>
    <x v="1"/>
    <n v="0"/>
    <s v="Efficient"/>
  </r>
  <r>
    <s v="PO-00306"/>
    <x v="4"/>
    <d v="2023-04-11T00:00:00"/>
    <d v="2023-04-25T00:00:00"/>
    <s v="Packaging"/>
    <s v="Delivered"/>
    <n v="343"/>
    <n v="44.5"/>
    <n v="38.57"/>
    <n v="7"/>
    <s v="Yes"/>
    <d v="2023-04-25T00:00:00"/>
    <s v="Net 30"/>
    <n v="30"/>
    <d v="2023-05-25T00:00:00"/>
    <d v="2023-06-06T00:00:00"/>
    <n v="42"/>
    <x v="0"/>
    <x v="0"/>
    <n v="12"/>
    <s v="Inefficient"/>
  </r>
  <r>
    <s v="PO-00307"/>
    <x v="2"/>
    <d v="2022-10-20T00:00:00"/>
    <d v="2022-11-05T00:00:00"/>
    <s v="MRO"/>
    <s v="Delivered"/>
    <n v="329"/>
    <n v="97.87"/>
    <n v="85.35"/>
    <n v="21"/>
    <s v="No"/>
    <d v="2022-11-05T00:00:00"/>
    <s v="Net 15"/>
    <n v="15"/>
    <d v="2022-11-20T00:00:00"/>
    <d v="2022-11-25T00:00:00"/>
    <n v="20"/>
    <x v="0"/>
    <x v="1"/>
    <n v="5"/>
    <s v="Inefficient"/>
  </r>
  <r>
    <s v="PO-00308"/>
    <x v="0"/>
    <d v="2023-03-10T00:00:00"/>
    <d v="2023-03-25T00:00:00"/>
    <s v="Electronics"/>
    <s v="Delivered"/>
    <n v="1910"/>
    <n v="90.69"/>
    <n v="85.8"/>
    <m/>
    <s v="Yes"/>
    <d v="2023-03-25T00:00:00"/>
    <s v="Net 45"/>
    <n v="45"/>
    <d v="2023-05-09T00:00:00"/>
    <d v="2023-05-20T00:00:00"/>
    <n v="56"/>
    <x v="0"/>
    <x v="0"/>
    <n v="11"/>
    <s v="Inefficient"/>
  </r>
  <r>
    <s v="PO-00309"/>
    <x v="4"/>
    <d v="2023-12-15T00:00:00"/>
    <d v="2023-12-18T00:00:00"/>
    <s v="MRO"/>
    <s v="Delivered"/>
    <n v="933"/>
    <n v="107.99"/>
    <n v="104.29"/>
    <n v="29"/>
    <s v="Yes"/>
    <d v="2023-12-18T00:00:00"/>
    <s v="Net 30"/>
    <n v="30"/>
    <d v="2024-01-17T00:00:00"/>
    <d v="2024-02-05T00:00:00"/>
    <n v="49"/>
    <x v="0"/>
    <x v="0"/>
    <n v="19"/>
    <s v="Inefficient"/>
  </r>
  <r>
    <s v="PO-00310"/>
    <x v="1"/>
    <d v="2023-07-24T00:00:00"/>
    <d v="2023-07-29T00:00:00"/>
    <s v="Raw Materials"/>
    <s v="Delivered"/>
    <n v="1683"/>
    <n v="23.09"/>
    <n v="21.88"/>
    <n v="253"/>
    <s v="Yes"/>
    <d v="2023-07-29T00:00:00"/>
    <s v="Net 30"/>
    <n v="30"/>
    <d v="2023-08-28T00:00:00"/>
    <d v="2023-08-24T00:00:00"/>
    <n v="26"/>
    <x v="1"/>
    <x v="1"/>
    <n v="0"/>
    <s v="Efficient"/>
  </r>
  <r>
    <s v="PO-00311"/>
    <x v="3"/>
    <d v="2023-11-09T00:00:00"/>
    <d v="2023-11-18T00:00:00"/>
    <s v="Packaging"/>
    <s v="Pending"/>
    <n v="247"/>
    <n v="84.11"/>
    <n v="71.97"/>
    <m/>
    <s v="Yes"/>
    <d v="2023-11-18T00:00:00"/>
    <s v="Net 45"/>
    <n v="45"/>
    <d v="2024-01-02T00:00:00"/>
    <d v="2024-01-02T00:00:00"/>
    <n v="45"/>
    <x v="1"/>
    <x v="0"/>
    <n v="0"/>
    <s v="Efficient"/>
  </r>
  <r>
    <s v="PO-00312"/>
    <x v="0"/>
    <d v="2023-05-14T00:00:00"/>
    <d v="2023-06-02T00:00:00"/>
    <s v="MRO"/>
    <s v="Delivered"/>
    <n v="1031"/>
    <n v="102.01"/>
    <n v="98.65"/>
    <m/>
    <s v="Yes"/>
    <d v="2023-06-02T00:00:00"/>
    <s v="Net 30"/>
    <n v="30"/>
    <d v="2023-07-02T00:00:00"/>
    <d v="2023-07-05T00:00:00"/>
    <n v="33"/>
    <x v="0"/>
    <x v="0"/>
    <n v="3"/>
    <s v="Inefficient"/>
  </r>
  <r>
    <s v="PO-00313"/>
    <x v="0"/>
    <d v="2022-06-08T00:00:00"/>
    <d v="2022-06-19T00:00:00"/>
    <s v="Packaging"/>
    <s v="Delivered"/>
    <n v="1980"/>
    <n v="26.97"/>
    <n v="24.16"/>
    <n v="41"/>
    <s v="Yes"/>
    <d v="2022-06-19T00:00:00"/>
    <s v="Net 30"/>
    <n v="30"/>
    <d v="2022-07-19T00:00:00"/>
    <d v="2022-07-14T00:00:00"/>
    <n v="25"/>
    <x v="1"/>
    <x v="1"/>
    <n v="0"/>
    <s v="Efficient"/>
  </r>
  <r>
    <s v="PO-00314"/>
    <x v="4"/>
    <d v="2022-07-14T00:00:00"/>
    <d v="2022-08-03T00:00:00"/>
    <s v="Raw Materials"/>
    <s v="Delivered"/>
    <n v="1584"/>
    <n v="16.46"/>
    <n v="14.2"/>
    <n v="57"/>
    <s v="Yes"/>
    <d v="2022-08-03T00:00:00"/>
    <s v="Net 15"/>
    <n v="15"/>
    <d v="2022-08-18T00:00:00"/>
    <d v="2022-08-23T00:00:00"/>
    <n v="20"/>
    <x v="0"/>
    <x v="1"/>
    <n v="5"/>
    <s v="Inefficient"/>
  </r>
  <r>
    <s v="PO-00315"/>
    <x v="3"/>
    <d v="2022-10-31T00:00:00"/>
    <d v="2022-11-15T00:00:00"/>
    <s v="Office Supplies"/>
    <s v="Delivered"/>
    <n v="801"/>
    <n v="80.150000000000006"/>
    <n v="70.91"/>
    <m/>
    <s v="Yes"/>
    <d v="2022-11-15T00:00:00"/>
    <s v="Net 30"/>
    <n v="30"/>
    <d v="2022-12-15T00:00:00"/>
    <d v="2022-12-25T00:00:00"/>
    <n v="40"/>
    <x v="0"/>
    <x v="0"/>
    <n v="10"/>
    <s v="Inefficient"/>
  </r>
  <r>
    <s v="PO-00316"/>
    <x v="3"/>
    <d v="2022-08-11T00:00:00"/>
    <d v="2022-08-25T00:00:00"/>
    <s v="Packaging"/>
    <s v="Delivered"/>
    <n v="193"/>
    <n v="63.86"/>
    <n v="57.46"/>
    <m/>
    <s v="Yes"/>
    <d v="2022-08-25T00:00:00"/>
    <s v="Net 30"/>
    <n v="30"/>
    <d v="2022-09-24T00:00:00"/>
    <d v="2022-10-11T00:00:00"/>
    <n v="47"/>
    <x v="0"/>
    <x v="0"/>
    <n v="17"/>
    <s v="Inefficient"/>
  </r>
  <r>
    <s v="PO-00317"/>
    <x v="3"/>
    <d v="2022-03-01T00:00:00"/>
    <d v="2022-03-05T00:00:00"/>
    <s v="Raw Materials"/>
    <s v="Delivered"/>
    <n v="658"/>
    <n v="86.62"/>
    <n v="79.849999999999994"/>
    <n v="72"/>
    <s v="Yes"/>
    <d v="2022-03-05T00:00:00"/>
    <s v="Net 15"/>
    <n v="15"/>
    <d v="2022-03-20T00:00:00"/>
    <d v="2022-03-19T00:00:00"/>
    <n v="14"/>
    <x v="1"/>
    <x v="1"/>
    <n v="0"/>
    <s v="Efficient"/>
  </r>
  <r>
    <s v="PO-00318"/>
    <x v="4"/>
    <d v="2023-08-17T00:00:00"/>
    <d v="2023-09-04T00:00:00"/>
    <s v="Electronics"/>
    <s v="Delivered"/>
    <n v="1274"/>
    <n v="24.72"/>
    <n v="23.36"/>
    <n v="37"/>
    <s v="Yes"/>
    <d v="2023-09-04T00:00:00"/>
    <s v="Net 30"/>
    <n v="30"/>
    <d v="2023-10-04T00:00:00"/>
    <d v="2023-10-24T00:00:00"/>
    <n v="50"/>
    <x v="0"/>
    <x v="0"/>
    <n v="20"/>
    <s v="Inefficient"/>
  </r>
  <r>
    <s v="PO-00319"/>
    <x v="4"/>
    <d v="2023-07-10T00:00:00"/>
    <d v="2023-07-17T00:00:00"/>
    <s v="Packaging"/>
    <s v="Partially Delivered"/>
    <n v="1197"/>
    <n v="88.92"/>
    <n v="78.819999999999993"/>
    <n v="31"/>
    <s v="Yes"/>
    <d v="2023-07-17T00:00:00"/>
    <s v="Net 15"/>
    <n v="15"/>
    <d v="2023-08-01T00:00:00"/>
    <d v="2023-07-29T00:00:00"/>
    <n v="12"/>
    <x v="1"/>
    <x v="1"/>
    <n v="0"/>
    <s v="Efficient"/>
  </r>
  <r>
    <s v="PO-00320"/>
    <x v="2"/>
    <d v="2022-03-04T00:00:00"/>
    <d v="2022-03-12T00:00:00"/>
    <s v="Electronics"/>
    <s v="Delivered"/>
    <n v="236"/>
    <n v="28.43"/>
    <n v="28.11"/>
    <n v="11"/>
    <s v="Yes"/>
    <d v="2022-03-12T00:00:00"/>
    <s v="Net 30"/>
    <n v="30"/>
    <d v="2022-04-11T00:00:00"/>
    <d v="2022-04-30T00:00:00"/>
    <n v="49"/>
    <x v="0"/>
    <x v="0"/>
    <n v="19"/>
    <s v="Inefficient"/>
  </r>
  <r>
    <s v="PO-00321"/>
    <x v="2"/>
    <d v="2022-11-18T00:00:00"/>
    <d v="2022-12-03T00:00:00"/>
    <s v="Raw Materials"/>
    <s v="Partially Delivered"/>
    <n v="1399"/>
    <n v="25.97"/>
    <n v="22.19"/>
    <n v="62"/>
    <s v="Yes"/>
    <d v="2022-12-03T00:00:00"/>
    <s v="Net 15"/>
    <n v="15"/>
    <d v="2022-12-18T00:00:00"/>
    <d v="2022-12-30T00:00:00"/>
    <n v="27"/>
    <x v="0"/>
    <x v="1"/>
    <n v="12"/>
    <s v="Inefficient"/>
  </r>
  <r>
    <s v="PO-00322"/>
    <x v="2"/>
    <d v="2022-02-28T00:00:00"/>
    <d v="2022-03-04T00:00:00"/>
    <s v="Electronics"/>
    <s v="Delivered"/>
    <n v="513"/>
    <n v="24.91"/>
    <n v="22.58"/>
    <n v="29"/>
    <s v="Yes"/>
    <d v="2022-03-04T00:00:00"/>
    <s v="Net 45"/>
    <n v="45"/>
    <d v="2022-04-18T00:00:00"/>
    <d v="2022-04-29T00:00:00"/>
    <n v="56"/>
    <x v="0"/>
    <x v="0"/>
    <n v="11"/>
    <s v="Inefficient"/>
  </r>
  <r>
    <s v="PO-00323"/>
    <x v="1"/>
    <d v="2022-02-21T00:00:00"/>
    <d v="2022-03-04T00:00:00"/>
    <s v="MRO"/>
    <s v="Delivered"/>
    <n v="1422"/>
    <n v="83.73"/>
    <n v="76.47"/>
    <n v="198"/>
    <s v="Yes"/>
    <d v="2022-03-04T00:00:00"/>
    <s v="Net 45"/>
    <n v="45"/>
    <d v="2022-04-18T00:00:00"/>
    <d v="2022-05-03T00:00:00"/>
    <n v="60"/>
    <x v="0"/>
    <x v="0"/>
    <n v="15"/>
    <s v="Inefficient"/>
  </r>
  <r>
    <s v="PO-00324"/>
    <x v="0"/>
    <d v="2023-08-22T00:00:00"/>
    <d v="2023-09-03T00:00:00"/>
    <s v="Office Supplies"/>
    <s v="Delivered"/>
    <n v="1844"/>
    <n v="76.510000000000005"/>
    <n v="73.05"/>
    <m/>
    <s v="Yes"/>
    <d v="2023-09-03T00:00:00"/>
    <s v="Net 45"/>
    <n v="45"/>
    <d v="2023-10-18T00:00:00"/>
    <d v="2023-10-29T00:00:00"/>
    <n v="56"/>
    <x v="0"/>
    <x v="0"/>
    <n v="11"/>
    <s v="Inefficient"/>
  </r>
  <r>
    <s v="PO-00325"/>
    <x v="2"/>
    <d v="2023-05-04T00:00:00"/>
    <m/>
    <s v="Electronics"/>
    <s v="Delivered"/>
    <n v="709"/>
    <n v="61.64"/>
    <n v="54.55"/>
    <n v="41"/>
    <s v="Yes"/>
    <d v="1899-12-30T00:00:00"/>
    <s v="Net 30"/>
    <n v="30"/>
    <d v="1900-01-29T00:00:00"/>
    <d v="1900-02-12T00:00:00"/>
    <n v="44"/>
    <x v="0"/>
    <x v="0"/>
    <n v="14"/>
    <s v="Inefficient"/>
  </r>
  <r>
    <s v="PO-00326"/>
    <x v="1"/>
    <d v="2023-05-30T00:00:00"/>
    <d v="2023-06-15T00:00:00"/>
    <s v="MRO"/>
    <s v="Delivered"/>
    <n v="813"/>
    <n v="45.68"/>
    <n v="41.78"/>
    <m/>
    <s v="No"/>
    <d v="2023-06-15T00:00:00"/>
    <s v="Net 15"/>
    <n v="15"/>
    <d v="2023-06-30T00:00:00"/>
    <d v="2023-07-18T00:00:00"/>
    <n v="33"/>
    <x v="0"/>
    <x v="0"/>
    <n v="18"/>
    <s v="Inefficient"/>
  </r>
  <r>
    <s v="PO-00327"/>
    <x v="1"/>
    <d v="2023-06-28T00:00:00"/>
    <d v="2023-07-01T00:00:00"/>
    <s v="Office Supplies"/>
    <s v="Delivered"/>
    <n v="1004"/>
    <n v="96.51"/>
    <n v="92.9"/>
    <n v="146"/>
    <s v="No"/>
    <d v="2023-07-01T00:00:00"/>
    <s v="Net 15"/>
    <n v="15"/>
    <d v="2023-07-16T00:00:00"/>
    <d v="2023-07-14T00:00:00"/>
    <n v="13"/>
    <x v="1"/>
    <x v="1"/>
    <n v="0"/>
    <s v="Efficient"/>
  </r>
  <r>
    <s v="PO-00328"/>
    <x v="4"/>
    <d v="2022-06-11T00:00:00"/>
    <d v="2022-06-15T00:00:00"/>
    <s v="Raw Materials"/>
    <s v="Delivered"/>
    <n v="452"/>
    <n v="46.45"/>
    <n v="40.39"/>
    <n v="9"/>
    <s v="Yes"/>
    <d v="2022-06-15T00:00:00"/>
    <s v="Net 45"/>
    <n v="45"/>
    <d v="2022-07-30T00:00:00"/>
    <d v="2022-07-30T00:00:00"/>
    <n v="45"/>
    <x v="1"/>
    <x v="0"/>
    <n v="0"/>
    <s v="Efficient"/>
  </r>
  <r>
    <s v="PO-00329"/>
    <x v="3"/>
    <d v="2022-02-28T00:00:00"/>
    <d v="2022-03-12T00:00:00"/>
    <s v="Raw Materials"/>
    <s v="Pending"/>
    <n v="1419"/>
    <n v="83.91"/>
    <n v="71.459999999999994"/>
    <n v="137"/>
    <s v="Yes"/>
    <d v="2022-03-12T00:00:00"/>
    <s v="Net 15"/>
    <n v="15"/>
    <d v="2022-03-27T00:00:00"/>
    <d v="2022-03-28T00:00:00"/>
    <n v="16"/>
    <x v="0"/>
    <x v="1"/>
    <n v="1"/>
    <s v="Inefficient"/>
  </r>
  <r>
    <s v="PO-00330"/>
    <x v="3"/>
    <d v="2023-06-05T00:00:00"/>
    <d v="2023-06-23T00:00:00"/>
    <s v="Packaging"/>
    <s v="Delivered"/>
    <n v="1584"/>
    <n v="53.73"/>
    <n v="51.92"/>
    <n v="167"/>
    <s v="No"/>
    <d v="2023-06-23T00:00:00"/>
    <s v="Net 45"/>
    <n v="45"/>
    <d v="2023-08-07T00:00:00"/>
    <d v="2023-08-04T00:00:00"/>
    <n v="42"/>
    <x v="1"/>
    <x v="0"/>
    <n v="0"/>
    <s v="Efficient"/>
  </r>
  <r>
    <s v="PO-00331"/>
    <x v="2"/>
    <d v="2022-03-24T00:00:00"/>
    <d v="2022-04-11T00:00:00"/>
    <s v="MRO"/>
    <s v="Pending"/>
    <n v="196"/>
    <n v="44.36"/>
    <n v="43.81"/>
    <n v="6"/>
    <s v="Yes"/>
    <d v="2022-04-11T00:00:00"/>
    <s v="Net 30"/>
    <n v="30"/>
    <d v="2022-05-11T00:00:00"/>
    <d v="2022-05-18T00:00:00"/>
    <n v="37"/>
    <x v="0"/>
    <x v="0"/>
    <n v="7"/>
    <s v="Inefficient"/>
  </r>
  <r>
    <s v="PO-00332"/>
    <x v="0"/>
    <d v="2022-07-10T00:00:00"/>
    <d v="2022-07-14T00:00:00"/>
    <s v="Office Supplies"/>
    <s v="Delivered"/>
    <n v="1221"/>
    <n v="53.19"/>
    <n v="46.18"/>
    <n v="29"/>
    <s v="Yes"/>
    <d v="2022-07-14T00:00:00"/>
    <s v="Net 30"/>
    <n v="30"/>
    <d v="2022-08-13T00:00:00"/>
    <d v="2022-08-27T00:00:00"/>
    <n v="44"/>
    <x v="0"/>
    <x v="0"/>
    <n v="14"/>
    <s v="Inefficient"/>
  </r>
  <r>
    <s v="PO-00333"/>
    <x v="0"/>
    <d v="2022-03-12T00:00:00"/>
    <d v="2022-03-26T00:00:00"/>
    <s v="Packaging"/>
    <s v="Delivered"/>
    <n v="913"/>
    <n v="37.5"/>
    <n v="36.200000000000003"/>
    <m/>
    <s v="Yes"/>
    <d v="2022-03-26T00:00:00"/>
    <s v="Net 15"/>
    <n v="15"/>
    <d v="2022-04-10T00:00:00"/>
    <d v="2022-04-21T00:00:00"/>
    <n v="26"/>
    <x v="0"/>
    <x v="1"/>
    <n v="11"/>
    <s v="Inefficient"/>
  </r>
  <r>
    <s v="PO-00334"/>
    <x v="0"/>
    <d v="2023-09-02T00:00:00"/>
    <d v="2023-09-04T00:00:00"/>
    <s v="Packaging"/>
    <s v="Delivered"/>
    <n v="1784"/>
    <n v="85.01"/>
    <n v="76.69"/>
    <n v="37"/>
    <s v="Yes"/>
    <d v="2023-09-04T00:00:00"/>
    <s v="Net 15"/>
    <n v="15"/>
    <d v="2023-09-19T00:00:00"/>
    <d v="2023-09-19T00:00:00"/>
    <n v="15"/>
    <x v="1"/>
    <x v="1"/>
    <n v="0"/>
    <s v="Efficient"/>
  </r>
  <r>
    <s v="PO-00335"/>
    <x v="1"/>
    <d v="2022-03-11T00:00:00"/>
    <m/>
    <s v="Raw Materials"/>
    <s v="Delivered"/>
    <n v="1893"/>
    <n v="55.8"/>
    <n v="52.35"/>
    <m/>
    <s v="Yes"/>
    <d v="1899-12-30T00:00:00"/>
    <s v="Net 15"/>
    <n v="15"/>
    <d v="1900-01-14T00:00:00"/>
    <d v="1900-02-02T00:00:00"/>
    <n v="34"/>
    <x v="0"/>
    <x v="0"/>
    <n v="19"/>
    <s v="Inefficient"/>
  </r>
  <r>
    <s v="PO-00336"/>
    <x v="1"/>
    <d v="2023-11-23T00:00:00"/>
    <d v="2023-12-05T00:00:00"/>
    <s v="Electronics"/>
    <s v="Pending"/>
    <n v="538"/>
    <n v="34.299999999999997"/>
    <n v="32.25"/>
    <n v="84"/>
    <s v="No"/>
    <d v="2023-12-05T00:00:00"/>
    <s v="Net 45"/>
    <n v="45"/>
    <d v="2024-01-19T00:00:00"/>
    <d v="2024-01-21T00:00:00"/>
    <n v="47"/>
    <x v="0"/>
    <x v="0"/>
    <n v="2"/>
    <s v="Inefficient"/>
  </r>
  <r>
    <s v="PO-00337"/>
    <x v="1"/>
    <d v="2022-08-29T00:00:00"/>
    <d v="2022-09-15T00:00:00"/>
    <s v="Office Supplies"/>
    <s v="Pending"/>
    <n v="978"/>
    <n v="94.15"/>
    <n v="87.7"/>
    <n v="149"/>
    <s v="No"/>
    <d v="2022-09-15T00:00:00"/>
    <s v="Net 45"/>
    <n v="45"/>
    <d v="2022-10-30T00:00:00"/>
    <d v="2022-10-25T00:00:00"/>
    <n v="40"/>
    <x v="1"/>
    <x v="0"/>
    <n v="0"/>
    <s v="Efficient"/>
  </r>
  <r>
    <s v="PO-00338"/>
    <x v="4"/>
    <d v="2023-02-18T00:00:00"/>
    <d v="2023-03-06T00:00:00"/>
    <s v="Raw Materials"/>
    <s v="Cancelled"/>
    <n v="1713"/>
    <n v="47.45"/>
    <n v="42.05"/>
    <n v="53"/>
    <s v="Yes"/>
    <d v="2023-03-06T00:00:00"/>
    <s v="Net 45"/>
    <n v="45"/>
    <d v="2023-04-20T00:00:00"/>
    <d v="2023-04-23T00:00:00"/>
    <n v="48"/>
    <x v="0"/>
    <x v="0"/>
    <n v="3"/>
    <s v="Inefficient"/>
  </r>
  <r>
    <s v="PO-00339"/>
    <x v="1"/>
    <d v="2022-05-03T00:00:00"/>
    <d v="2022-05-07T00:00:00"/>
    <s v="Raw Materials"/>
    <s v="Pending"/>
    <n v="600"/>
    <n v="60.1"/>
    <n v="57.92"/>
    <n v="95"/>
    <s v="No"/>
    <d v="2022-05-07T00:00:00"/>
    <s v="Net 45"/>
    <n v="45"/>
    <d v="2022-06-21T00:00:00"/>
    <d v="2022-07-02T00:00:00"/>
    <n v="56"/>
    <x v="0"/>
    <x v="0"/>
    <n v="11"/>
    <s v="Inefficient"/>
  </r>
  <r>
    <s v="PO-00340"/>
    <x v="0"/>
    <d v="2023-08-07T00:00:00"/>
    <d v="2023-08-25T00:00:00"/>
    <s v="Electronics"/>
    <s v="Pending"/>
    <n v="387"/>
    <n v="100.28"/>
    <n v="85.54"/>
    <n v="5"/>
    <s v="Yes"/>
    <d v="2023-08-25T00:00:00"/>
    <s v="Net 30"/>
    <n v="30"/>
    <d v="2023-09-24T00:00:00"/>
    <d v="2023-10-01T00:00:00"/>
    <n v="37"/>
    <x v="0"/>
    <x v="0"/>
    <n v="7"/>
    <s v="Inefficient"/>
  </r>
  <r>
    <s v="PO-00341"/>
    <x v="0"/>
    <d v="2022-09-10T00:00:00"/>
    <d v="2022-09-19T00:00:00"/>
    <s v="MRO"/>
    <s v="Pending"/>
    <n v="921"/>
    <n v="68.83"/>
    <n v="59.13"/>
    <n v="22"/>
    <s v="Yes"/>
    <d v="2022-09-19T00:00:00"/>
    <s v="Net 30"/>
    <n v="30"/>
    <d v="2022-10-19T00:00:00"/>
    <d v="2022-10-28T00:00:00"/>
    <n v="39"/>
    <x v="0"/>
    <x v="0"/>
    <n v="9"/>
    <s v="Inefficient"/>
  </r>
  <r>
    <s v="PO-00342"/>
    <x v="3"/>
    <d v="2023-08-16T00:00:00"/>
    <d v="2023-08-30T00:00:00"/>
    <s v="MRO"/>
    <s v="Delivered"/>
    <n v="690"/>
    <n v="22.47"/>
    <n v="21.94"/>
    <n v="77"/>
    <s v="Yes"/>
    <d v="2023-08-30T00:00:00"/>
    <s v="Net 45"/>
    <n v="45"/>
    <d v="2023-10-14T00:00:00"/>
    <d v="2023-10-11T00:00:00"/>
    <n v="42"/>
    <x v="1"/>
    <x v="0"/>
    <n v="0"/>
    <s v="Efficient"/>
  </r>
  <r>
    <s v="PO-00343"/>
    <x v="0"/>
    <d v="2023-09-01T00:00:00"/>
    <d v="2023-09-21T00:00:00"/>
    <s v="Office Supplies"/>
    <s v="Cancelled"/>
    <n v="1852"/>
    <n v="104.04"/>
    <n v="94.89"/>
    <n v="36"/>
    <s v="Yes"/>
    <d v="2023-09-21T00:00:00"/>
    <s v="Net 30"/>
    <n v="30"/>
    <d v="2023-10-21T00:00:00"/>
    <d v="2023-11-05T00:00:00"/>
    <n v="45"/>
    <x v="0"/>
    <x v="0"/>
    <n v="15"/>
    <s v="Inefficient"/>
  </r>
  <r>
    <s v="PO-00344"/>
    <x v="1"/>
    <d v="2022-02-10T00:00:00"/>
    <d v="2022-02-28T00:00:00"/>
    <s v="Electronics"/>
    <s v="Delivered"/>
    <n v="522"/>
    <n v="66.83"/>
    <n v="58.01"/>
    <n v="74"/>
    <s v="Yes"/>
    <d v="2022-02-28T00:00:00"/>
    <s v="Net 45"/>
    <n v="45"/>
    <d v="2022-04-14T00:00:00"/>
    <d v="2022-04-13T00:00:00"/>
    <n v="44"/>
    <x v="1"/>
    <x v="0"/>
    <n v="0"/>
    <s v="Efficient"/>
  </r>
  <r>
    <s v="PO-00345"/>
    <x v="1"/>
    <d v="2023-09-27T00:00:00"/>
    <d v="2023-10-06T00:00:00"/>
    <s v="Electronics"/>
    <s v="Delivered"/>
    <n v="200"/>
    <n v="44.16"/>
    <n v="43.13"/>
    <n v="21"/>
    <s v="Yes"/>
    <d v="2023-10-06T00:00:00"/>
    <s v="Net 15"/>
    <n v="15"/>
    <d v="2023-10-21T00:00:00"/>
    <d v="2023-10-22T00:00:00"/>
    <n v="16"/>
    <x v="0"/>
    <x v="1"/>
    <n v="1"/>
    <s v="Inefficient"/>
  </r>
  <r>
    <s v="PO-00346"/>
    <x v="2"/>
    <d v="2022-03-25T00:00:00"/>
    <d v="2022-04-03T00:00:00"/>
    <s v="Packaging"/>
    <s v="Delivered"/>
    <n v="1488"/>
    <n v="22.76"/>
    <n v="21.99"/>
    <m/>
    <s v="Yes"/>
    <d v="2022-04-03T00:00:00"/>
    <s v="Net 30"/>
    <n v="30"/>
    <d v="2022-05-03T00:00:00"/>
    <d v="2022-04-30T00:00:00"/>
    <n v="27"/>
    <x v="1"/>
    <x v="1"/>
    <n v="0"/>
    <s v="Efficient"/>
  </r>
  <r>
    <s v="PO-00347"/>
    <x v="4"/>
    <d v="2023-03-06T00:00:00"/>
    <d v="2023-03-16T00:00:00"/>
    <s v="Electronics"/>
    <s v="Delivered"/>
    <n v="1371"/>
    <n v="87.16"/>
    <n v="78.13"/>
    <n v="43"/>
    <s v="Yes"/>
    <d v="2023-03-16T00:00:00"/>
    <s v="Net 15"/>
    <n v="15"/>
    <d v="2023-03-31T00:00:00"/>
    <d v="2023-04-20T00:00:00"/>
    <n v="35"/>
    <x v="0"/>
    <x v="0"/>
    <n v="20"/>
    <s v="Inefficient"/>
  </r>
  <r>
    <s v="PO-00348"/>
    <x v="0"/>
    <d v="2023-11-05T00:00:00"/>
    <m/>
    <s v="Office Supplies"/>
    <s v="Delivered"/>
    <n v="1684"/>
    <n v="73.05"/>
    <n v="62.53"/>
    <m/>
    <s v="Yes"/>
    <d v="1899-12-30T00:00:00"/>
    <s v="Net 15"/>
    <n v="15"/>
    <d v="1900-01-14T00:00:00"/>
    <d v="1900-01-09T00:00:00"/>
    <n v="10"/>
    <x v="1"/>
    <x v="1"/>
    <n v="0"/>
    <s v="Efficient"/>
  </r>
  <r>
    <s v="PO-00349"/>
    <x v="4"/>
    <d v="2023-08-21T00:00:00"/>
    <d v="2023-08-27T00:00:00"/>
    <s v="Electronics"/>
    <s v="Delivered"/>
    <n v="312"/>
    <n v="63.52"/>
    <n v="58.09"/>
    <m/>
    <s v="Yes"/>
    <d v="2023-08-27T00:00:00"/>
    <s v="Net 15"/>
    <n v="15"/>
    <d v="2023-09-11T00:00:00"/>
    <d v="2023-09-26T00:00:00"/>
    <n v="30"/>
    <x v="0"/>
    <x v="1"/>
    <n v="15"/>
    <s v="Inefficient"/>
  </r>
  <r>
    <s v="PO-00350"/>
    <x v="0"/>
    <d v="2023-08-02T00:00:00"/>
    <d v="2023-08-21T00:00:00"/>
    <s v="Packaging"/>
    <s v="Cancelled"/>
    <n v="1837"/>
    <n v="99.04"/>
    <n v="86.51"/>
    <n v="39"/>
    <s v="Yes"/>
    <d v="2023-08-21T00:00:00"/>
    <s v="Net 15"/>
    <n v="15"/>
    <d v="2023-09-05T00:00:00"/>
    <d v="2023-09-21T00:00:00"/>
    <n v="31"/>
    <x v="0"/>
    <x v="0"/>
    <n v="16"/>
    <s v="Inefficient"/>
  </r>
  <r>
    <s v="PO-00351"/>
    <x v="3"/>
    <d v="2023-06-20T00:00:00"/>
    <d v="2023-06-23T00:00:00"/>
    <s v="MRO"/>
    <s v="Delivered"/>
    <n v="193"/>
    <n v="87.86"/>
    <n v="81.739999999999995"/>
    <n v="21"/>
    <s v="Yes"/>
    <d v="2023-06-23T00:00:00"/>
    <s v="Net 15"/>
    <n v="15"/>
    <d v="2023-07-08T00:00:00"/>
    <d v="2023-07-08T00:00:00"/>
    <n v="15"/>
    <x v="1"/>
    <x v="1"/>
    <n v="0"/>
    <s v="Efficient"/>
  </r>
  <r>
    <s v="PO-00352"/>
    <x v="3"/>
    <d v="2022-11-20T00:00:00"/>
    <d v="2022-11-21T00:00:00"/>
    <s v="Electronics"/>
    <s v="Delivered"/>
    <n v="395"/>
    <n v="24.83"/>
    <n v="23.96"/>
    <n v="31"/>
    <s v="Yes"/>
    <d v="2022-11-21T00:00:00"/>
    <s v="Net 45"/>
    <n v="45"/>
    <d v="2023-01-05T00:00:00"/>
    <d v="2023-01-13T00:00:00"/>
    <n v="53"/>
    <x v="0"/>
    <x v="0"/>
    <n v="8"/>
    <s v="Inefficient"/>
  </r>
  <r>
    <s v="PO-00353"/>
    <x v="4"/>
    <d v="2022-09-25T00:00:00"/>
    <d v="2022-10-12T00:00:00"/>
    <s v="Electronics"/>
    <s v="Cancelled"/>
    <n v="673"/>
    <n v="39.58"/>
    <n v="35.83"/>
    <n v="25"/>
    <s v="Yes"/>
    <d v="2022-10-12T00:00:00"/>
    <s v="Net 15"/>
    <n v="15"/>
    <d v="2022-10-27T00:00:00"/>
    <d v="2022-11-10T00:00:00"/>
    <n v="29"/>
    <x v="0"/>
    <x v="1"/>
    <n v="14"/>
    <s v="Inefficient"/>
  </r>
  <r>
    <s v="PO-00354"/>
    <x v="1"/>
    <d v="2022-07-29T00:00:00"/>
    <d v="2022-08-12T00:00:00"/>
    <s v="Office Supplies"/>
    <s v="Cancelled"/>
    <n v="1066"/>
    <n v="33.33"/>
    <n v="28.47"/>
    <n v="162"/>
    <s v="No"/>
    <d v="2022-08-12T00:00:00"/>
    <s v="Net 45"/>
    <n v="45"/>
    <d v="2022-09-26T00:00:00"/>
    <d v="2022-09-21T00:00:00"/>
    <n v="40"/>
    <x v="1"/>
    <x v="0"/>
    <n v="0"/>
    <s v="Efficient"/>
  </r>
  <r>
    <s v="PO-00355"/>
    <x v="2"/>
    <d v="2023-11-17T00:00:00"/>
    <d v="2023-11-23T00:00:00"/>
    <s v="Packaging"/>
    <s v="Delivered"/>
    <n v="1645"/>
    <n v="85.42"/>
    <n v="80.78"/>
    <n v="73"/>
    <s v="No"/>
    <d v="2023-11-23T00:00:00"/>
    <s v="Net 30"/>
    <n v="30"/>
    <d v="2023-12-23T00:00:00"/>
    <d v="2024-01-08T00:00:00"/>
    <n v="46"/>
    <x v="0"/>
    <x v="0"/>
    <n v="16"/>
    <s v="Inefficient"/>
  </r>
  <r>
    <s v="PO-00356"/>
    <x v="0"/>
    <d v="2022-11-18T00:00:00"/>
    <d v="2022-11-29T00:00:00"/>
    <s v="Electronics"/>
    <s v="Delivered"/>
    <n v="930"/>
    <n v="13.67"/>
    <n v="11.95"/>
    <n v="16"/>
    <s v="Yes"/>
    <d v="2022-11-29T00:00:00"/>
    <s v="Net 30"/>
    <n v="30"/>
    <d v="2022-12-29T00:00:00"/>
    <d v="2023-01-11T00:00:00"/>
    <n v="43"/>
    <x v="0"/>
    <x v="0"/>
    <n v="13"/>
    <s v="Inefficient"/>
  </r>
  <r>
    <s v="PO-00357"/>
    <x v="0"/>
    <d v="2022-09-02T00:00:00"/>
    <d v="2022-09-21T00:00:00"/>
    <s v="Office Supplies"/>
    <s v="Delivered"/>
    <n v="51"/>
    <n v="63.74"/>
    <n v="56.1"/>
    <n v="0"/>
    <s v="Yes"/>
    <d v="2022-09-21T00:00:00"/>
    <s v="Net 15"/>
    <n v="15"/>
    <d v="2022-10-06T00:00:00"/>
    <d v="2022-10-08T00:00:00"/>
    <n v="17"/>
    <x v="0"/>
    <x v="1"/>
    <n v="2"/>
    <s v="Inefficient"/>
  </r>
  <r>
    <s v="PO-00358"/>
    <x v="2"/>
    <d v="2022-09-29T00:00:00"/>
    <d v="2022-10-01T00:00:00"/>
    <s v="Packaging"/>
    <s v="Delivered"/>
    <n v="946"/>
    <n v="81.77"/>
    <n v="71.650000000000006"/>
    <n v="55"/>
    <s v="Yes"/>
    <d v="2022-10-01T00:00:00"/>
    <s v="Net 30"/>
    <n v="30"/>
    <d v="2022-10-31T00:00:00"/>
    <d v="2022-10-31T00:00:00"/>
    <n v="30"/>
    <x v="1"/>
    <x v="1"/>
    <n v="0"/>
    <s v="Efficient"/>
  </r>
  <r>
    <s v="PO-00359"/>
    <x v="4"/>
    <d v="2023-02-10T00:00:00"/>
    <d v="2023-03-02T00:00:00"/>
    <s v="Raw Materials"/>
    <s v="Partially Delivered"/>
    <n v="1377"/>
    <n v="94.69"/>
    <n v="84.2"/>
    <m/>
    <s v="Yes"/>
    <d v="2023-03-02T00:00:00"/>
    <s v="Net 15"/>
    <n v="15"/>
    <d v="2023-03-17T00:00:00"/>
    <d v="2023-03-13T00:00:00"/>
    <n v="11"/>
    <x v="1"/>
    <x v="1"/>
    <n v="0"/>
    <s v="Efficient"/>
  </r>
  <r>
    <s v="PO-00360"/>
    <x v="4"/>
    <d v="2022-05-15T00:00:00"/>
    <d v="2022-05-18T00:00:00"/>
    <s v="Packaging"/>
    <s v="Cancelled"/>
    <n v="303"/>
    <n v="41.6"/>
    <n v="40.51"/>
    <n v="11"/>
    <s v="Yes"/>
    <d v="2022-05-18T00:00:00"/>
    <s v="Net 15"/>
    <n v="15"/>
    <d v="2022-06-02T00:00:00"/>
    <d v="2022-06-10T00:00:00"/>
    <n v="23"/>
    <x v="0"/>
    <x v="1"/>
    <n v="8"/>
    <s v="Inefficient"/>
  </r>
  <r>
    <s v="PO-00361"/>
    <x v="0"/>
    <d v="2023-11-19T00:00:00"/>
    <d v="2023-12-03T00:00:00"/>
    <s v="Raw Materials"/>
    <s v="Delivered"/>
    <n v="1725"/>
    <n v="93.14"/>
    <n v="79.62"/>
    <n v="24"/>
    <s v="Yes"/>
    <d v="2023-12-03T00:00:00"/>
    <s v="Net 45"/>
    <n v="45"/>
    <d v="2024-01-17T00:00:00"/>
    <d v="2024-01-22T00:00:00"/>
    <n v="50"/>
    <x v="0"/>
    <x v="0"/>
    <n v="5"/>
    <s v="Inefficient"/>
  </r>
  <r>
    <s v="PO-00362"/>
    <x v="3"/>
    <d v="2023-10-23T00:00:00"/>
    <d v="2023-11-07T00:00:00"/>
    <s v="Raw Materials"/>
    <s v="Cancelled"/>
    <n v="502"/>
    <n v="22.05"/>
    <n v="20.65"/>
    <n v="50"/>
    <s v="No"/>
    <d v="2023-11-07T00:00:00"/>
    <s v="Net 45"/>
    <n v="45"/>
    <d v="2023-12-22T00:00:00"/>
    <d v="2024-01-09T00:00:00"/>
    <n v="63"/>
    <x v="0"/>
    <x v="2"/>
    <n v="18"/>
    <s v="Inefficient"/>
  </r>
  <r>
    <s v="PO-00363"/>
    <x v="2"/>
    <d v="2022-11-04T00:00:00"/>
    <d v="2022-11-11T00:00:00"/>
    <s v="Packaging"/>
    <s v="Delivered"/>
    <n v="1110"/>
    <n v="90.49"/>
    <n v="80.03"/>
    <n v="61"/>
    <s v="Yes"/>
    <d v="2022-11-11T00:00:00"/>
    <s v="Net 45"/>
    <n v="45"/>
    <d v="2022-12-26T00:00:00"/>
    <d v="2022-12-31T00:00:00"/>
    <n v="50"/>
    <x v="0"/>
    <x v="0"/>
    <n v="5"/>
    <s v="Inefficient"/>
  </r>
  <r>
    <s v="PO-00364"/>
    <x v="0"/>
    <d v="2023-04-14T00:00:00"/>
    <d v="2023-04-18T00:00:00"/>
    <s v="Packaging"/>
    <s v="Delivered"/>
    <n v="1233"/>
    <n v="23.08"/>
    <n v="20.57"/>
    <m/>
    <s v="Yes"/>
    <d v="2023-04-18T00:00:00"/>
    <s v="Net 45"/>
    <n v="45"/>
    <d v="2023-06-02T00:00:00"/>
    <d v="2023-06-07T00:00:00"/>
    <n v="50"/>
    <x v="0"/>
    <x v="0"/>
    <n v="5"/>
    <s v="Inefficient"/>
  </r>
  <r>
    <s v="PO-00365"/>
    <x v="3"/>
    <d v="2022-11-20T00:00:00"/>
    <d v="2022-11-24T00:00:00"/>
    <s v="Office Supplies"/>
    <s v="Delivered"/>
    <n v="1064"/>
    <n v="48.04"/>
    <n v="43.6"/>
    <n v="94"/>
    <s v="Yes"/>
    <d v="2022-11-24T00:00:00"/>
    <s v="Net 15"/>
    <n v="15"/>
    <d v="2022-12-09T00:00:00"/>
    <d v="2022-12-06T00:00:00"/>
    <n v="12"/>
    <x v="1"/>
    <x v="1"/>
    <n v="0"/>
    <s v="Efficient"/>
  </r>
  <r>
    <s v="PO-00366"/>
    <x v="4"/>
    <d v="2022-03-16T00:00:00"/>
    <d v="2022-04-04T00:00:00"/>
    <s v="Packaging"/>
    <s v="Partially Delivered"/>
    <n v="58"/>
    <n v="82.57"/>
    <n v="76.55"/>
    <m/>
    <s v="Yes"/>
    <d v="2022-04-04T00:00:00"/>
    <s v="Net 15"/>
    <n v="15"/>
    <d v="2022-04-19T00:00:00"/>
    <d v="2022-04-27T00:00:00"/>
    <n v="23"/>
    <x v="0"/>
    <x v="1"/>
    <n v="8"/>
    <s v="Inefficient"/>
  </r>
  <r>
    <s v="PO-00367"/>
    <x v="3"/>
    <d v="2022-01-10T00:00:00"/>
    <d v="2022-01-20T00:00:00"/>
    <s v="MRO"/>
    <s v="Delivered"/>
    <n v="1306"/>
    <n v="23.49"/>
    <n v="20.170000000000002"/>
    <n v="116"/>
    <s v="No"/>
    <d v="2022-01-20T00:00:00"/>
    <s v="Net 45"/>
    <n v="45"/>
    <d v="2022-03-06T00:00:00"/>
    <d v="2022-03-17T00:00:00"/>
    <n v="56"/>
    <x v="0"/>
    <x v="0"/>
    <n v="11"/>
    <s v="Inefficient"/>
  </r>
  <r>
    <s v="PO-00368"/>
    <x v="1"/>
    <d v="2023-04-15T00:00:00"/>
    <d v="2023-04-28T00:00:00"/>
    <s v="Electronics"/>
    <s v="Delivered"/>
    <n v="1172"/>
    <n v="32.93"/>
    <n v="29.28"/>
    <m/>
    <s v="No"/>
    <d v="2023-04-28T00:00:00"/>
    <s v="Net 45"/>
    <n v="45"/>
    <d v="2023-06-12T00:00:00"/>
    <d v="2023-06-20T00:00:00"/>
    <n v="53"/>
    <x v="0"/>
    <x v="0"/>
    <n v="8"/>
    <s v="Inefficient"/>
  </r>
  <r>
    <s v="PO-00369"/>
    <x v="0"/>
    <d v="2023-09-29T00:00:00"/>
    <m/>
    <s v="Packaging"/>
    <s v="Delivered"/>
    <n v="1732"/>
    <n v="82.5"/>
    <n v="71.709999999999994"/>
    <n v="24"/>
    <s v="Yes"/>
    <d v="1899-12-30T00:00:00"/>
    <s v="Net 15"/>
    <n v="15"/>
    <d v="1900-01-14T00:00:00"/>
    <d v="1900-01-30T00:00:00"/>
    <n v="31"/>
    <x v="0"/>
    <x v="0"/>
    <n v="16"/>
    <s v="Inefficient"/>
  </r>
  <r>
    <s v="PO-00370"/>
    <x v="2"/>
    <d v="2023-07-31T00:00:00"/>
    <d v="2023-08-07T00:00:00"/>
    <s v="Raw Materials"/>
    <s v="Delivered"/>
    <n v="865"/>
    <n v="81.540000000000006"/>
    <n v="71.59"/>
    <n v="39"/>
    <s v="Yes"/>
    <d v="2023-08-07T00:00:00"/>
    <s v="Net 45"/>
    <n v="45"/>
    <d v="2023-09-21T00:00:00"/>
    <d v="2023-10-11T00:00:00"/>
    <n v="65"/>
    <x v="0"/>
    <x v="2"/>
    <n v="20"/>
    <s v="Inefficient"/>
  </r>
  <r>
    <s v="PO-00371"/>
    <x v="3"/>
    <d v="2022-04-13T00:00:00"/>
    <d v="2022-04-20T00:00:00"/>
    <s v="Raw Materials"/>
    <s v="Delivered"/>
    <n v="257"/>
    <n v="68.72"/>
    <n v="66.92"/>
    <n v="22"/>
    <s v="Yes"/>
    <d v="2022-04-20T00:00:00"/>
    <s v="Net 45"/>
    <n v="45"/>
    <d v="2022-06-04T00:00:00"/>
    <d v="2022-06-18T00:00:00"/>
    <n v="59"/>
    <x v="0"/>
    <x v="0"/>
    <n v="14"/>
    <s v="Inefficient"/>
  </r>
  <r>
    <s v="PO-00372"/>
    <x v="4"/>
    <d v="2022-03-17T00:00:00"/>
    <d v="2022-03-26T00:00:00"/>
    <s v="Packaging"/>
    <s v="Delivered"/>
    <n v="1204"/>
    <n v="73.180000000000007"/>
    <n v="67.59"/>
    <n v="31"/>
    <s v="Yes"/>
    <d v="2022-03-26T00:00:00"/>
    <s v="Net 30"/>
    <n v="30"/>
    <d v="2022-04-25T00:00:00"/>
    <d v="2022-05-08T00:00:00"/>
    <n v="43"/>
    <x v="0"/>
    <x v="0"/>
    <n v="13"/>
    <s v="Inefficient"/>
  </r>
  <r>
    <s v="PO-00373"/>
    <x v="3"/>
    <d v="2023-07-05T00:00:00"/>
    <d v="2023-07-09T00:00:00"/>
    <s v="Electronics"/>
    <s v="Partially Delivered"/>
    <n v="453"/>
    <n v="64.14"/>
    <n v="60.18"/>
    <n v="51"/>
    <s v="Yes"/>
    <d v="2023-07-09T00:00:00"/>
    <s v="Net 30"/>
    <n v="30"/>
    <d v="2023-08-08T00:00:00"/>
    <d v="2023-08-18T00:00:00"/>
    <n v="40"/>
    <x v="0"/>
    <x v="0"/>
    <n v="10"/>
    <s v="Inefficient"/>
  </r>
  <r>
    <s v="PO-00374"/>
    <x v="4"/>
    <d v="2022-08-07T00:00:00"/>
    <d v="2022-08-21T00:00:00"/>
    <s v="Electronics"/>
    <s v="Delivered"/>
    <n v="201"/>
    <n v="33.81"/>
    <n v="32.54"/>
    <n v="3"/>
    <s v="Yes"/>
    <d v="2022-08-21T00:00:00"/>
    <s v="Net 45"/>
    <n v="45"/>
    <d v="2022-10-05T00:00:00"/>
    <d v="2022-10-03T00:00:00"/>
    <n v="43"/>
    <x v="1"/>
    <x v="0"/>
    <n v="0"/>
    <s v="Efficient"/>
  </r>
  <r>
    <s v="PO-00375"/>
    <x v="1"/>
    <d v="2023-06-03T00:00:00"/>
    <d v="2023-06-16T00:00:00"/>
    <s v="Office Supplies"/>
    <s v="Delivered"/>
    <n v="103"/>
    <n v="44.61"/>
    <n v="42.88"/>
    <n v="10"/>
    <s v="Yes"/>
    <d v="2023-06-16T00:00:00"/>
    <s v="Net 15"/>
    <n v="15"/>
    <d v="2023-07-01T00:00:00"/>
    <d v="2023-07-03T00:00:00"/>
    <n v="17"/>
    <x v="0"/>
    <x v="1"/>
    <n v="2"/>
    <s v="Inefficient"/>
  </r>
  <r>
    <s v="PO-00376"/>
    <x v="4"/>
    <d v="2022-09-29T00:00:00"/>
    <d v="2022-10-07T00:00:00"/>
    <s v="Office Supplies"/>
    <s v="Delivered"/>
    <n v="1193"/>
    <n v="27.4"/>
    <n v="27.09"/>
    <m/>
    <s v="Yes"/>
    <d v="2022-10-07T00:00:00"/>
    <s v="Net 30"/>
    <n v="30"/>
    <d v="2022-11-06T00:00:00"/>
    <d v="2022-11-03T00:00:00"/>
    <n v="27"/>
    <x v="1"/>
    <x v="1"/>
    <n v="0"/>
    <s v="Efficient"/>
  </r>
  <r>
    <s v="PO-00377"/>
    <x v="2"/>
    <d v="2022-05-16T00:00:00"/>
    <d v="2022-05-28T00:00:00"/>
    <s v="Office Supplies"/>
    <s v="Partially Delivered"/>
    <n v="1746"/>
    <n v="93.6"/>
    <n v="89.81"/>
    <n v="85"/>
    <s v="Yes"/>
    <d v="2022-05-28T00:00:00"/>
    <s v="Net 30"/>
    <n v="30"/>
    <d v="2022-06-27T00:00:00"/>
    <d v="2022-06-24T00:00:00"/>
    <n v="27"/>
    <x v="1"/>
    <x v="1"/>
    <n v="0"/>
    <s v="Efficient"/>
  </r>
  <r>
    <s v="PO-00378"/>
    <x v="1"/>
    <d v="2022-12-24T00:00:00"/>
    <d v="2022-12-26T00:00:00"/>
    <s v="Electronics"/>
    <s v="Delivered"/>
    <n v="1993"/>
    <n v="65.94"/>
    <n v="59.36"/>
    <m/>
    <s v="Yes"/>
    <d v="2022-12-26T00:00:00"/>
    <s v="Net 45"/>
    <n v="45"/>
    <d v="2023-02-09T00:00:00"/>
    <d v="2023-02-27T00:00:00"/>
    <n v="63"/>
    <x v="0"/>
    <x v="2"/>
    <n v="18"/>
    <s v="Inefficient"/>
  </r>
  <r>
    <s v="PO-00379"/>
    <x v="3"/>
    <d v="2022-03-12T00:00:00"/>
    <d v="2022-03-27T00:00:00"/>
    <s v="Raw Materials"/>
    <s v="Delivered"/>
    <n v="677"/>
    <n v="46.54"/>
    <n v="43.11"/>
    <m/>
    <s v="No"/>
    <d v="2022-03-27T00:00:00"/>
    <s v="Net 15"/>
    <n v="15"/>
    <d v="2022-04-11T00:00:00"/>
    <d v="2022-04-16T00:00:00"/>
    <n v="20"/>
    <x v="0"/>
    <x v="1"/>
    <n v="5"/>
    <s v="Inefficient"/>
  </r>
  <r>
    <s v="PO-00380"/>
    <x v="0"/>
    <d v="2022-09-08T00:00:00"/>
    <m/>
    <s v="Office Supplies"/>
    <s v="Pending"/>
    <n v="636"/>
    <n v="53.64"/>
    <n v="49.23"/>
    <n v="18"/>
    <s v="Yes"/>
    <d v="1899-12-30T00:00:00"/>
    <s v="Net 45"/>
    <n v="45"/>
    <d v="1900-02-13T00:00:00"/>
    <d v="1900-03-02T00:00:00"/>
    <n v="62"/>
    <x v="0"/>
    <x v="2"/>
    <n v="17"/>
    <s v="Inefficient"/>
  </r>
  <r>
    <s v="PO-00381"/>
    <x v="4"/>
    <d v="2023-01-14T00:00:00"/>
    <d v="2023-02-02T00:00:00"/>
    <s v="Packaging"/>
    <s v="Delivered"/>
    <n v="1698"/>
    <n v="100.97"/>
    <n v="98.73"/>
    <n v="52"/>
    <s v="Yes"/>
    <d v="2023-02-02T00:00:00"/>
    <s v="Net 30"/>
    <n v="30"/>
    <d v="2023-03-04T00:00:00"/>
    <d v="2023-03-22T00:00:00"/>
    <n v="48"/>
    <x v="0"/>
    <x v="0"/>
    <n v="18"/>
    <s v="Inefficient"/>
  </r>
  <r>
    <s v="PO-00382"/>
    <x v="2"/>
    <d v="2022-10-19T00:00:00"/>
    <d v="2022-11-01T00:00:00"/>
    <s v="Office Supplies"/>
    <s v="Delivered"/>
    <n v="1493"/>
    <n v="24.87"/>
    <n v="22.89"/>
    <n v="56"/>
    <s v="Yes"/>
    <d v="2022-11-01T00:00:00"/>
    <s v="Net 45"/>
    <n v="45"/>
    <d v="2022-12-16T00:00:00"/>
    <d v="2022-12-24T00:00:00"/>
    <n v="53"/>
    <x v="0"/>
    <x v="0"/>
    <n v="8"/>
    <s v="Inefficient"/>
  </r>
  <r>
    <s v="PO-00383"/>
    <x v="0"/>
    <d v="2022-06-11T00:00:00"/>
    <d v="2022-06-25T00:00:00"/>
    <s v="Packaging"/>
    <s v="Delivered"/>
    <n v="1495"/>
    <n v="64.33"/>
    <n v="58.18"/>
    <n v="26"/>
    <s v="Yes"/>
    <d v="2022-06-25T00:00:00"/>
    <s v="Net 30"/>
    <n v="30"/>
    <d v="2022-07-25T00:00:00"/>
    <d v="2022-08-07T00:00:00"/>
    <n v="43"/>
    <x v="0"/>
    <x v="0"/>
    <n v="13"/>
    <s v="Inefficient"/>
  </r>
  <r>
    <s v="PO-00384"/>
    <x v="0"/>
    <d v="2023-03-25T00:00:00"/>
    <d v="2023-04-07T00:00:00"/>
    <s v="Packaging"/>
    <s v="Cancelled"/>
    <n v="153"/>
    <n v="59.42"/>
    <n v="52"/>
    <n v="3"/>
    <s v="Yes"/>
    <d v="2023-04-07T00:00:00"/>
    <s v="Net 30"/>
    <n v="30"/>
    <d v="2023-05-07T00:00:00"/>
    <d v="2023-05-18T00:00:00"/>
    <n v="41"/>
    <x v="0"/>
    <x v="0"/>
    <n v="11"/>
    <s v="Inefficient"/>
  </r>
  <r>
    <s v="PO-00385"/>
    <x v="1"/>
    <d v="2023-07-11T00:00:00"/>
    <d v="2023-07-22T00:00:00"/>
    <s v="Raw Materials"/>
    <s v="Cancelled"/>
    <n v="1925"/>
    <n v="70.88"/>
    <n v="63.41"/>
    <n v="292"/>
    <s v="Yes"/>
    <d v="2023-07-22T00:00:00"/>
    <s v="Net 45"/>
    <n v="45"/>
    <d v="2023-09-05T00:00:00"/>
    <d v="2023-09-07T00:00:00"/>
    <n v="47"/>
    <x v="0"/>
    <x v="0"/>
    <n v="2"/>
    <s v="Inefficient"/>
  </r>
  <r>
    <s v="PO-00386"/>
    <x v="3"/>
    <d v="2023-12-22T00:00:00"/>
    <d v="2024-01-11T00:00:00"/>
    <s v="Packaging"/>
    <s v="Delivered"/>
    <n v="303"/>
    <n v="12.97"/>
    <n v="11.42"/>
    <m/>
    <s v="No"/>
    <d v="2024-01-11T00:00:00"/>
    <s v="Net 30"/>
    <n v="30"/>
    <d v="2024-02-10T00:00:00"/>
    <d v="2024-02-29T00:00:00"/>
    <n v="49"/>
    <x v="0"/>
    <x v="0"/>
    <n v="19"/>
    <s v="Inefficient"/>
  </r>
  <r>
    <s v="PO-00387"/>
    <x v="0"/>
    <d v="2022-11-06T00:00:00"/>
    <d v="2022-11-18T00:00:00"/>
    <s v="Office Supplies"/>
    <s v="Delivered"/>
    <n v="1300"/>
    <n v="92.92"/>
    <n v="90.63"/>
    <m/>
    <s v="Yes"/>
    <d v="2022-11-18T00:00:00"/>
    <s v="Net 30"/>
    <n v="30"/>
    <d v="2022-12-18T00:00:00"/>
    <d v="2022-12-25T00:00:00"/>
    <n v="37"/>
    <x v="0"/>
    <x v="0"/>
    <n v="7"/>
    <s v="Inefficient"/>
  </r>
  <r>
    <s v="PO-00388"/>
    <x v="2"/>
    <d v="2023-09-19T00:00:00"/>
    <d v="2023-09-23T00:00:00"/>
    <s v="Raw Materials"/>
    <s v="Delivered"/>
    <n v="1185"/>
    <n v="103.28"/>
    <n v="99.05"/>
    <m/>
    <s v="Yes"/>
    <d v="2023-09-23T00:00:00"/>
    <s v="Net 30"/>
    <n v="30"/>
    <d v="2023-10-23T00:00:00"/>
    <d v="2023-10-30T00:00:00"/>
    <n v="37"/>
    <x v="0"/>
    <x v="0"/>
    <n v="7"/>
    <s v="Inefficient"/>
  </r>
  <r>
    <s v="PO-00389"/>
    <x v="4"/>
    <d v="2023-11-01T00:00:00"/>
    <d v="2023-11-20T00:00:00"/>
    <s v="Raw Materials"/>
    <s v="Delivered"/>
    <n v="559"/>
    <n v="67.56"/>
    <n v="57.98"/>
    <n v="15"/>
    <s v="Yes"/>
    <d v="2023-11-20T00:00:00"/>
    <s v="Net 45"/>
    <n v="45"/>
    <d v="2024-01-04T00:00:00"/>
    <d v="2024-01-10T00:00:00"/>
    <n v="51"/>
    <x v="0"/>
    <x v="0"/>
    <n v="6"/>
    <s v="Inefficient"/>
  </r>
  <r>
    <s v="PO-00390"/>
    <x v="4"/>
    <d v="2023-06-26T00:00:00"/>
    <d v="2023-06-29T00:00:00"/>
    <s v="Electronics"/>
    <s v="Pending"/>
    <n v="1546"/>
    <n v="78.88"/>
    <n v="78"/>
    <n v="38"/>
    <s v="Yes"/>
    <d v="2023-06-29T00:00:00"/>
    <s v="Net 45"/>
    <n v="45"/>
    <d v="2023-08-13T00:00:00"/>
    <d v="2023-08-10T00:00:00"/>
    <n v="42"/>
    <x v="1"/>
    <x v="0"/>
    <n v="0"/>
    <s v="Efficient"/>
  </r>
  <r>
    <s v="PO-00391"/>
    <x v="4"/>
    <d v="2022-01-09T00:00:00"/>
    <d v="2022-01-19T00:00:00"/>
    <s v="Packaging"/>
    <s v="Delivered"/>
    <n v="148"/>
    <n v="93.02"/>
    <n v="85.96"/>
    <n v="4"/>
    <s v="Yes"/>
    <d v="2022-01-19T00:00:00"/>
    <s v="Net 15"/>
    <n v="15"/>
    <d v="2022-02-03T00:00:00"/>
    <d v="2022-01-31T00:00:00"/>
    <n v="12"/>
    <x v="1"/>
    <x v="1"/>
    <n v="0"/>
    <s v="Efficient"/>
  </r>
  <r>
    <s v="PO-00392"/>
    <x v="1"/>
    <d v="2023-11-15T00:00:00"/>
    <d v="2023-11-23T00:00:00"/>
    <s v="Office Supplies"/>
    <s v="Delivered"/>
    <n v="202"/>
    <n v="81.75"/>
    <n v="78.260000000000005"/>
    <n v="37"/>
    <s v="No"/>
    <d v="2023-11-23T00:00:00"/>
    <s v="Net 45"/>
    <n v="45"/>
    <d v="2024-01-07T00:00:00"/>
    <d v="2024-01-11T00:00:00"/>
    <n v="49"/>
    <x v="0"/>
    <x v="0"/>
    <n v="4"/>
    <s v="Inefficient"/>
  </r>
  <r>
    <s v="PO-00393"/>
    <x v="2"/>
    <d v="2023-07-22T00:00:00"/>
    <d v="2023-07-28T00:00:00"/>
    <s v="Packaging"/>
    <s v="Delivered"/>
    <n v="1934"/>
    <n v="25.86"/>
    <n v="25.6"/>
    <n v="78"/>
    <s v="Yes"/>
    <d v="2023-07-28T00:00:00"/>
    <s v="Net 15"/>
    <n v="15"/>
    <d v="2023-08-12T00:00:00"/>
    <d v="2023-08-24T00:00:00"/>
    <n v="27"/>
    <x v="0"/>
    <x v="1"/>
    <n v="12"/>
    <s v="Inefficient"/>
  </r>
  <r>
    <s v="PO-00394"/>
    <x v="0"/>
    <d v="2022-11-03T00:00:00"/>
    <d v="2022-11-07T00:00:00"/>
    <s v="Office Supplies"/>
    <s v="Delivered"/>
    <n v="963"/>
    <n v="64.959999999999994"/>
    <n v="64.069999999999993"/>
    <n v="20"/>
    <s v="Yes"/>
    <d v="2022-11-07T00:00:00"/>
    <s v="Net 45"/>
    <n v="45"/>
    <d v="2022-12-22T00:00:00"/>
    <d v="2022-12-18T00:00:00"/>
    <n v="41"/>
    <x v="1"/>
    <x v="0"/>
    <n v="0"/>
    <s v="Efficient"/>
  </r>
  <r>
    <s v="PO-00395"/>
    <x v="2"/>
    <d v="2023-11-11T00:00:00"/>
    <d v="2023-11-18T00:00:00"/>
    <s v="MRO"/>
    <s v="Delivered"/>
    <n v="1969"/>
    <n v="71.709999999999994"/>
    <n v="61.96"/>
    <m/>
    <s v="Yes"/>
    <d v="2023-11-18T00:00:00"/>
    <s v="Net 30"/>
    <n v="30"/>
    <d v="2023-12-18T00:00:00"/>
    <d v="2023-12-25T00:00:00"/>
    <n v="37"/>
    <x v="0"/>
    <x v="0"/>
    <n v="7"/>
    <s v="Inefficient"/>
  </r>
  <r>
    <s v="PO-00396"/>
    <x v="1"/>
    <d v="2022-04-17T00:00:00"/>
    <m/>
    <s v="Electronics"/>
    <s v="Delivered"/>
    <n v="927"/>
    <n v="48.89"/>
    <n v="46.05"/>
    <n v="138"/>
    <s v="Yes"/>
    <d v="1899-12-30T00:00:00"/>
    <s v="Net 45"/>
    <n v="45"/>
    <d v="1900-02-13T00:00:00"/>
    <d v="1900-02-17T00:00:00"/>
    <n v="49"/>
    <x v="0"/>
    <x v="0"/>
    <n v="4"/>
    <s v="Inefficient"/>
  </r>
  <r>
    <s v="PO-00397"/>
    <x v="1"/>
    <d v="2022-05-18T00:00:00"/>
    <d v="2022-05-23T00:00:00"/>
    <s v="Raw Materials"/>
    <s v="Cancelled"/>
    <n v="387"/>
    <n v="77.81"/>
    <n v="69.040000000000006"/>
    <n v="67"/>
    <s v="Yes"/>
    <d v="2022-05-23T00:00:00"/>
    <s v="Net 15"/>
    <n v="15"/>
    <d v="2022-06-07T00:00:00"/>
    <d v="2022-06-17T00:00:00"/>
    <n v="25"/>
    <x v="0"/>
    <x v="1"/>
    <n v="10"/>
    <s v="Inefficient"/>
  </r>
  <r>
    <s v="PO-00398"/>
    <x v="3"/>
    <d v="2022-09-28T00:00:00"/>
    <d v="2022-10-03T00:00:00"/>
    <s v="Electronics"/>
    <s v="Delivered"/>
    <n v="1779"/>
    <n v="97.86"/>
    <n v="94.36"/>
    <n v="176"/>
    <s v="Yes"/>
    <d v="2022-10-03T00:00:00"/>
    <s v="Net 15"/>
    <n v="15"/>
    <d v="2022-10-18T00:00:00"/>
    <d v="2022-10-23T00:00:00"/>
    <n v="20"/>
    <x v="0"/>
    <x v="1"/>
    <n v="5"/>
    <s v="Inefficient"/>
  </r>
  <r>
    <s v="PO-00399"/>
    <x v="2"/>
    <d v="2022-04-29T00:00:00"/>
    <d v="2022-05-05T00:00:00"/>
    <s v="MRO"/>
    <s v="Pending"/>
    <n v="871"/>
    <n v="94.7"/>
    <n v="92.66"/>
    <n v="46"/>
    <s v="Yes"/>
    <d v="2022-05-05T00:00:00"/>
    <s v="Net 30"/>
    <n v="30"/>
    <d v="2022-06-04T00:00:00"/>
    <d v="2022-06-23T00:00:00"/>
    <n v="49"/>
    <x v="0"/>
    <x v="0"/>
    <n v="19"/>
    <s v="Inefficient"/>
  </r>
  <r>
    <s v="PO-00400"/>
    <x v="4"/>
    <d v="2022-04-20T00:00:00"/>
    <d v="2022-04-23T00:00:00"/>
    <s v="Electronics"/>
    <s v="Delivered"/>
    <n v="1236"/>
    <n v="51.33"/>
    <n v="44.03"/>
    <n v="25"/>
    <s v="Yes"/>
    <d v="2022-04-23T00:00:00"/>
    <s v="Net 30"/>
    <n v="30"/>
    <d v="2022-05-23T00:00:00"/>
    <d v="2022-05-24T00:00:00"/>
    <n v="31"/>
    <x v="0"/>
    <x v="0"/>
    <n v="1"/>
    <s v="Inefficient"/>
  </r>
  <r>
    <s v="PO-00401"/>
    <x v="1"/>
    <d v="2023-07-21T00:00:00"/>
    <d v="2023-08-06T00:00:00"/>
    <s v="Electronics"/>
    <s v="Delivered"/>
    <n v="1793"/>
    <n v="22.01"/>
    <n v="21.78"/>
    <n v="285"/>
    <s v="Yes"/>
    <d v="2023-08-06T00:00:00"/>
    <s v="Net 30"/>
    <n v="30"/>
    <d v="2023-09-05T00:00:00"/>
    <d v="2023-09-09T00:00:00"/>
    <n v="34"/>
    <x v="0"/>
    <x v="0"/>
    <n v="4"/>
    <s v="Inefficient"/>
  </r>
  <r>
    <s v="PO-00402"/>
    <x v="1"/>
    <d v="2022-06-09T00:00:00"/>
    <d v="2022-06-28T00:00:00"/>
    <s v="MRO"/>
    <s v="Delivered"/>
    <n v="1006"/>
    <n v="101.1"/>
    <n v="89.04"/>
    <n v="139"/>
    <s v="Yes"/>
    <d v="2022-06-28T00:00:00"/>
    <s v="Net 45"/>
    <n v="45"/>
    <d v="2022-08-12T00:00:00"/>
    <d v="2022-08-13T00:00:00"/>
    <n v="46"/>
    <x v="0"/>
    <x v="0"/>
    <n v="1"/>
    <s v="Inefficient"/>
  </r>
  <r>
    <s v="PO-00403"/>
    <x v="3"/>
    <d v="2022-10-06T00:00:00"/>
    <d v="2022-10-21T00:00:00"/>
    <s v="Electronics"/>
    <s v="Cancelled"/>
    <n v="1754"/>
    <n v="89.35"/>
    <n v="86.54"/>
    <n v="161"/>
    <s v="No"/>
    <d v="2022-10-21T00:00:00"/>
    <s v="Net 15"/>
    <n v="15"/>
    <d v="2022-11-05T00:00:00"/>
    <d v="2022-11-06T00:00:00"/>
    <n v="16"/>
    <x v="0"/>
    <x v="1"/>
    <n v="1"/>
    <s v="Inefficient"/>
  </r>
  <r>
    <s v="PO-00404"/>
    <x v="4"/>
    <d v="2022-10-16T00:00:00"/>
    <d v="2022-11-04T00:00:00"/>
    <s v="Electronics"/>
    <s v="Delivered"/>
    <n v="210"/>
    <n v="22.17"/>
    <n v="21.32"/>
    <n v="10"/>
    <s v="Yes"/>
    <d v="2022-11-04T00:00:00"/>
    <s v="Net 30"/>
    <n v="30"/>
    <d v="2022-12-04T00:00:00"/>
    <d v="2022-12-09T00:00:00"/>
    <n v="35"/>
    <x v="0"/>
    <x v="0"/>
    <n v="5"/>
    <s v="Inefficient"/>
  </r>
  <r>
    <s v="PO-00405"/>
    <x v="1"/>
    <d v="2023-09-12T00:00:00"/>
    <d v="2023-10-02T00:00:00"/>
    <s v="MRO"/>
    <s v="Delivered"/>
    <n v="1653"/>
    <n v="102.16"/>
    <n v="91.91"/>
    <n v="217"/>
    <s v="Yes"/>
    <d v="2023-10-02T00:00:00"/>
    <s v="Net 15"/>
    <n v="15"/>
    <d v="2023-10-17T00:00:00"/>
    <d v="2023-11-06T00:00:00"/>
    <n v="35"/>
    <x v="0"/>
    <x v="0"/>
    <n v="20"/>
    <s v="Inefficient"/>
  </r>
  <r>
    <s v="PO-00406"/>
    <x v="0"/>
    <d v="2022-08-04T00:00:00"/>
    <d v="2022-08-15T00:00:00"/>
    <s v="MRO"/>
    <s v="Partially Delivered"/>
    <n v="850"/>
    <n v="91.38"/>
    <n v="88.41"/>
    <n v="24"/>
    <s v="Yes"/>
    <d v="2022-08-15T00:00:00"/>
    <s v="Net 30"/>
    <n v="30"/>
    <d v="2022-09-14T00:00:00"/>
    <d v="2022-09-29T00:00:00"/>
    <n v="45"/>
    <x v="0"/>
    <x v="0"/>
    <n v="15"/>
    <s v="Inefficient"/>
  </r>
  <r>
    <s v="PO-00407"/>
    <x v="4"/>
    <d v="2022-12-18T00:00:00"/>
    <d v="2022-12-21T00:00:00"/>
    <s v="Raw Materials"/>
    <s v="Delivered"/>
    <n v="447"/>
    <n v="59.81"/>
    <n v="57.92"/>
    <n v="13"/>
    <s v="Yes"/>
    <d v="2022-12-21T00:00:00"/>
    <s v="Net 45"/>
    <n v="45"/>
    <d v="2023-02-04T00:00:00"/>
    <d v="2023-02-22T00:00:00"/>
    <n v="63"/>
    <x v="0"/>
    <x v="2"/>
    <n v="18"/>
    <s v="Inefficient"/>
  </r>
  <r>
    <s v="PO-00408"/>
    <x v="2"/>
    <d v="2022-07-28T00:00:00"/>
    <d v="2022-08-07T00:00:00"/>
    <s v="Office Supplies"/>
    <s v="Delivered"/>
    <n v="1350"/>
    <n v="65.11"/>
    <n v="56.95"/>
    <n v="71"/>
    <s v="Yes"/>
    <d v="2022-08-07T00:00:00"/>
    <s v="Net 30"/>
    <n v="30"/>
    <d v="2022-09-06T00:00:00"/>
    <d v="2022-09-12T00:00:00"/>
    <n v="36"/>
    <x v="0"/>
    <x v="0"/>
    <n v="6"/>
    <s v="Inefficient"/>
  </r>
  <r>
    <s v="PO-00409"/>
    <x v="3"/>
    <d v="2023-12-05T00:00:00"/>
    <d v="2023-12-24T00:00:00"/>
    <s v="Office Supplies"/>
    <s v="Delivered"/>
    <n v="865"/>
    <n v="51.19"/>
    <n v="47.76"/>
    <n v="83"/>
    <s v="Yes"/>
    <d v="2023-12-24T00:00:00"/>
    <s v="Net 15"/>
    <n v="15"/>
    <d v="2024-01-08T00:00:00"/>
    <d v="2024-01-04T00:00:00"/>
    <n v="11"/>
    <x v="1"/>
    <x v="1"/>
    <n v="0"/>
    <s v="Efficient"/>
  </r>
  <r>
    <s v="PO-00410"/>
    <x v="0"/>
    <d v="2023-10-12T00:00:00"/>
    <d v="2023-10-29T00:00:00"/>
    <s v="MRO"/>
    <s v="Delivered"/>
    <n v="1989"/>
    <n v="16.5"/>
    <n v="15.89"/>
    <n v="57"/>
    <s v="Yes"/>
    <d v="2023-10-29T00:00:00"/>
    <s v="Net 30"/>
    <n v="30"/>
    <d v="2023-11-28T00:00:00"/>
    <d v="2023-11-24T00:00:00"/>
    <n v="26"/>
    <x v="1"/>
    <x v="1"/>
    <n v="0"/>
    <s v="Efficient"/>
  </r>
  <r>
    <s v="PO-00411"/>
    <x v="0"/>
    <d v="2022-09-28T00:00:00"/>
    <d v="2022-10-13T00:00:00"/>
    <s v="Office Supplies"/>
    <s v="Delivered"/>
    <n v="1577"/>
    <n v="41.77"/>
    <n v="39.58"/>
    <n v="32"/>
    <s v="Yes"/>
    <d v="2022-10-13T00:00:00"/>
    <s v="Net 15"/>
    <n v="15"/>
    <d v="2022-10-28T00:00:00"/>
    <d v="2022-10-26T00:00:00"/>
    <n v="13"/>
    <x v="1"/>
    <x v="1"/>
    <n v="0"/>
    <s v="Efficient"/>
  </r>
  <r>
    <s v="PO-00412"/>
    <x v="2"/>
    <d v="2023-06-02T00:00:00"/>
    <d v="2023-06-04T00:00:00"/>
    <s v="Packaging"/>
    <s v="Pending"/>
    <n v="1969"/>
    <n v="89.25"/>
    <n v="87.28"/>
    <n v="108"/>
    <s v="No"/>
    <d v="2023-06-04T00:00:00"/>
    <s v="Net 45"/>
    <n v="45"/>
    <d v="2023-07-19T00:00:00"/>
    <d v="2023-07-17T00:00:00"/>
    <n v="43"/>
    <x v="1"/>
    <x v="0"/>
    <n v="0"/>
    <s v="Efficient"/>
  </r>
  <r>
    <s v="PO-00413"/>
    <x v="3"/>
    <d v="2023-05-16T00:00:00"/>
    <d v="2023-05-26T00:00:00"/>
    <s v="Packaging"/>
    <s v="Partially Delivered"/>
    <n v="1465"/>
    <n v="11.25"/>
    <n v="9.61"/>
    <n v="151"/>
    <s v="Yes"/>
    <d v="2023-05-26T00:00:00"/>
    <s v="Net 30"/>
    <n v="30"/>
    <d v="2023-06-25T00:00:00"/>
    <d v="2023-07-06T00:00:00"/>
    <n v="41"/>
    <x v="0"/>
    <x v="0"/>
    <n v="11"/>
    <s v="Inefficient"/>
  </r>
  <r>
    <s v="PO-00414"/>
    <x v="1"/>
    <d v="2022-09-15T00:00:00"/>
    <d v="2022-09-18T00:00:00"/>
    <s v="Packaging"/>
    <s v="Pending"/>
    <n v="1208"/>
    <n v="41.62"/>
    <n v="39.46"/>
    <m/>
    <s v="Yes"/>
    <d v="2022-09-18T00:00:00"/>
    <s v="Net 15"/>
    <n v="15"/>
    <d v="2022-10-03T00:00:00"/>
    <d v="2022-10-20T00:00:00"/>
    <n v="32"/>
    <x v="0"/>
    <x v="0"/>
    <n v="17"/>
    <s v="Inefficient"/>
  </r>
  <r>
    <s v="PO-00415"/>
    <x v="3"/>
    <d v="2022-02-22T00:00:00"/>
    <d v="2022-03-11T00:00:00"/>
    <s v="Raw Materials"/>
    <s v="Delivered"/>
    <n v="1268"/>
    <n v="46.06"/>
    <n v="45.26"/>
    <n v="123"/>
    <s v="Yes"/>
    <d v="2022-03-11T00:00:00"/>
    <s v="Net 45"/>
    <n v="45"/>
    <d v="2022-04-25T00:00:00"/>
    <d v="2022-05-12T00:00:00"/>
    <n v="62"/>
    <x v="0"/>
    <x v="2"/>
    <n v="17"/>
    <s v="Inefficient"/>
  </r>
  <r>
    <s v="PO-00416"/>
    <x v="1"/>
    <d v="2022-04-05T00:00:00"/>
    <d v="2022-04-24T00:00:00"/>
    <s v="Office Supplies"/>
    <s v="Delivered"/>
    <n v="450"/>
    <n v="59.24"/>
    <n v="55.03"/>
    <n v="68"/>
    <s v="No"/>
    <d v="2022-04-24T00:00:00"/>
    <s v="Net 30"/>
    <n v="30"/>
    <d v="2022-05-24T00:00:00"/>
    <d v="2022-05-21T00:00:00"/>
    <n v="27"/>
    <x v="1"/>
    <x v="1"/>
    <n v="0"/>
    <s v="Efficient"/>
  </r>
  <r>
    <s v="PO-00417"/>
    <x v="2"/>
    <d v="2023-10-12T00:00:00"/>
    <d v="2023-10-14T00:00:00"/>
    <s v="Electronics"/>
    <s v="Partially Delivered"/>
    <n v="689"/>
    <n v="102.53"/>
    <n v="95.23"/>
    <n v="38"/>
    <s v="Yes"/>
    <d v="2023-10-14T00:00:00"/>
    <s v="Net 45"/>
    <n v="45"/>
    <d v="2023-11-28T00:00:00"/>
    <d v="2023-12-17T00:00:00"/>
    <n v="64"/>
    <x v="0"/>
    <x v="2"/>
    <n v="19"/>
    <s v="Inefficient"/>
  </r>
  <r>
    <s v="PO-00418"/>
    <x v="2"/>
    <d v="2023-03-10T00:00:00"/>
    <d v="2023-03-29T00:00:00"/>
    <s v="MRO"/>
    <s v="Delivered"/>
    <n v="1106"/>
    <n v="44.05"/>
    <n v="38.6"/>
    <n v="51"/>
    <s v="Yes"/>
    <d v="2023-03-29T00:00:00"/>
    <s v="Net 30"/>
    <n v="30"/>
    <d v="2023-04-28T00:00:00"/>
    <d v="2023-04-25T00:00:00"/>
    <n v="27"/>
    <x v="1"/>
    <x v="1"/>
    <n v="0"/>
    <s v="Efficient"/>
  </r>
  <r>
    <s v="PO-00419"/>
    <x v="0"/>
    <d v="2022-10-11T00:00:00"/>
    <d v="2022-10-22T00:00:00"/>
    <s v="Office Supplies"/>
    <s v="Delivered"/>
    <n v="737"/>
    <n v="43.08"/>
    <n v="42.58"/>
    <n v="21"/>
    <s v="Yes"/>
    <d v="2022-10-22T00:00:00"/>
    <s v="Net 15"/>
    <n v="15"/>
    <d v="2022-11-06T00:00:00"/>
    <d v="2022-11-11T00:00:00"/>
    <n v="20"/>
    <x v="0"/>
    <x v="1"/>
    <n v="5"/>
    <s v="Inefficient"/>
  </r>
  <r>
    <s v="PO-00420"/>
    <x v="0"/>
    <d v="2022-02-15T00:00:00"/>
    <d v="2022-03-04T00:00:00"/>
    <s v="Raw Materials"/>
    <s v="Delivered"/>
    <n v="509"/>
    <n v="76.760000000000005"/>
    <n v="74.72"/>
    <n v="7"/>
    <s v="No"/>
    <d v="2022-03-04T00:00:00"/>
    <s v="Net 45"/>
    <n v="45"/>
    <d v="2022-04-18T00:00:00"/>
    <d v="2022-04-18T00:00:00"/>
    <n v="45"/>
    <x v="1"/>
    <x v="0"/>
    <n v="0"/>
    <s v="Efficient"/>
  </r>
  <r>
    <s v="PO-00421"/>
    <x v="0"/>
    <d v="2022-01-04T00:00:00"/>
    <d v="2022-01-06T00:00:00"/>
    <s v="Electronics"/>
    <s v="Delivered"/>
    <n v="1004"/>
    <n v="50.7"/>
    <n v="46.59"/>
    <n v="27"/>
    <s v="Yes"/>
    <d v="2022-01-06T00:00:00"/>
    <s v="Net 15"/>
    <n v="15"/>
    <d v="2022-01-21T00:00:00"/>
    <d v="2022-02-04T00:00:00"/>
    <n v="29"/>
    <x v="0"/>
    <x v="1"/>
    <n v="14"/>
    <s v="Inefficient"/>
  </r>
  <r>
    <s v="PO-00422"/>
    <x v="2"/>
    <d v="2022-12-08T00:00:00"/>
    <d v="2022-12-19T00:00:00"/>
    <s v="MRO"/>
    <s v="Pending"/>
    <n v="1956"/>
    <n v="31.88"/>
    <n v="28.48"/>
    <n v="86"/>
    <s v="Yes"/>
    <d v="2022-12-19T00:00:00"/>
    <s v="Net 15"/>
    <n v="15"/>
    <d v="2023-01-03T00:00:00"/>
    <d v="2023-01-23T00:00:00"/>
    <n v="35"/>
    <x v="0"/>
    <x v="0"/>
    <n v="20"/>
    <s v="Inefficient"/>
  </r>
  <r>
    <s v="PO-00423"/>
    <x v="1"/>
    <d v="2022-05-14T00:00:00"/>
    <m/>
    <s v="Electronics"/>
    <s v="Delivered"/>
    <n v="519"/>
    <n v="51.73"/>
    <n v="47.52"/>
    <n v="81"/>
    <s v="No"/>
    <d v="1899-12-30T00:00:00"/>
    <s v="Net 15"/>
    <n v="15"/>
    <d v="1900-01-14T00:00:00"/>
    <d v="1900-02-02T00:00:00"/>
    <n v="34"/>
    <x v="0"/>
    <x v="0"/>
    <n v="19"/>
    <s v="Inefficient"/>
  </r>
  <r>
    <s v="PO-00424"/>
    <x v="2"/>
    <d v="2023-10-15T00:00:00"/>
    <d v="2023-10-21T00:00:00"/>
    <s v="MRO"/>
    <s v="Partially Delivered"/>
    <n v="1448"/>
    <n v="25.06"/>
    <n v="21.62"/>
    <n v="84"/>
    <s v="Yes"/>
    <d v="2023-10-21T00:00:00"/>
    <s v="Net 30"/>
    <n v="30"/>
    <d v="2023-11-20T00:00:00"/>
    <d v="2023-11-17T00:00:00"/>
    <n v="27"/>
    <x v="1"/>
    <x v="1"/>
    <n v="0"/>
    <s v="Efficient"/>
  </r>
  <r>
    <s v="PO-00425"/>
    <x v="2"/>
    <d v="2022-09-26T00:00:00"/>
    <d v="2022-10-11T00:00:00"/>
    <s v="Packaging"/>
    <s v="Delivered"/>
    <n v="1095"/>
    <n v="26.91"/>
    <n v="23.75"/>
    <n v="53"/>
    <s v="Yes"/>
    <d v="2022-10-11T00:00:00"/>
    <s v="Net 15"/>
    <n v="15"/>
    <d v="2022-10-26T00:00:00"/>
    <d v="2022-10-26T00:00:00"/>
    <n v="15"/>
    <x v="1"/>
    <x v="1"/>
    <n v="0"/>
    <s v="Efficient"/>
  </r>
  <r>
    <s v="PO-00426"/>
    <x v="0"/>
    <d v="2022-06-15T00:00:00"/>
    <m/>
    <s v="MRO"/>
    <s v="Delivered"/>
    <n v="799"/>
    <n v="56.22"/>
    <n v="49.51"/>
    <n v="18"/>
    <s v="Yes"/>
    <d v="1899-12-30T00:00:00"/>
    <s v="Net 30"/>
    <n v="30"/>
    <d v="1900-01-29T00:00:00"/>
    <d v="1900-01-29T00:00:00"/>
    <n v="30"/>
    <x v="1"/>
    <x v="1"/>
    <n v="0"/>
    <s v="Efficient"/>
  </r>
  <r>
    <s v="PO-00427"/>
    <x v="3"/>
    <d v="2023-03-29T00:00:00"/>
    <d v="2023-04-18T00:00:00"/>
    <s v="MRO"/>
    <s v="Partially Delivered"/>
    <n v="1743"/>
    <n v="51.04"/>
    <n v="47.15"/>
    <n v="160"/>
    <s v="Yes"/>
    <d v="2023-04-18T00:00:00"/>
    <s v="Net 30"/>
    <n v="30"/>
    <d v="2023-05-18T00:00:00"/>
    <d v="2023-05-24T00:00:00"/>
    <n v="36"/>
    <x v="0"/>
    <x v="0"/>
    <n v="6"/>
    <s v="Inefficient"/>
  </r>
  <r>
    <s v="PO-00428"/>
    <x v="0"/>
    <d v="2023-07-19T00:00:00"/>
    <d v="2023-07-31T00:00:00"/>
    <s v="Raw Materials"/>
    <s v="Delivered"/>
    <n v="87"/>
    <n v="100.65"/>
    <n v="85.56"/>
    <n v="1"/>
    <s v="Yes"/>
    <d v="2023-07-31T00:00:00"/>
    <s v="Net 30"/>
    <n v="30"/>
    <d v="2023-08-30T00:00:00"/>
    <d v="2023-08-27T00:00:00"/>
    <n v="27"/>
    <x v="1"/>
    <x v="1"/>
    <n v="0"/>
    <s v="Efficient"/>
  </r>
  <r>
    <s v="PO-00429"/>
    <x v="3"/>
    <d v="2023-12-24T00:00:00"/>
    <m/>
    <s v="Raw Materials"/>
    <s v="Delivered"/>
    <n v="279"/>
    <n v="47.52"/>
    <n v="46.5"/>
    <n v="28"/>
    <s v="No"/>
    <d v="1899-12-30T00:00:00"/>
    <s v="Net 15"/>
    <n v="15"/>
    <d v="1900-01-14T00:00:00"/>
    <d v="1900-01-16T00:00:00"/>
    <n v="17"/>
    <x v="0"/>
    <x v="1"/>
    <n v="2"/>
    <s v="Inefficient"/>
  </r>
  <r>
    <s v="PO-00430"/>
    <x v="1"/>
    <d v="2023-03-14T00:00:00"/>
    <d v="2023-03-25T00:00:00"/>
    <s v="Raw Materials"/>
    <s v="Delivered"/>
    <n v="1438"/>
    <n v="66.61"/>
    <n v="58.5"/>
    <n v="237"/>
    <s v="Yes"/>
    <d v="2023-03-25T00:00:00"/>
    <s v="Net 45"/>
    <n v="45"/>
    <d v="2023-05-09T00:00:00"/>
    <d v="2023-05-16T00:00:00"/>
    <n v="52"/>
    <x v="0"/>
    <x v="0"/>
    <n v="7"/>
    <s v="Inefficient"/>
  </r>
  <r>
    <s v="PO-00431"/>
    <x v="1"/>
    <d v="2023-07-29T00:00:00"/>
    <d v="2023-07-31T00:00:00"/>
    <s v="Office Supplies"/>
    <s v="Partially Delivered"/>
    <n v="612"/>
    <n v="72.930000000000007"/>
    <n v="63.32"/>
    <n v="99"/>
    <s v="Yes"/>
    <d v="2023-07-31T00:00:00"/>
    <s v="Net 30"/>
    <n v="30"/>
    <d v="2023-08-30T00:00:00"/>
    <d v="2023-09-18T00:00:00"/>
    <n v="49"/>
    <x v="0"/>
    <x v="0"/>
    <n v="19"/>
    <s v="Inefficient"/>
  </r>
  <r>
    <s v="PO-00432"/>
    <x v="4"/>
    <d v="2022-01-10T00:00:00"/>
    <d v="2022-01-21T00:00:00"/>
    <s v="Packaging"/>
    <s v="Pending"/>
    <n v="487"/>
    <n v="11.18"/>
    <n v="10.63"/>
    <n v="15"/>
    <s v="Yes"/>
    <d v="2022-01-21T00:00:00"/>
    <s v="Net 45"/>
    <n v="45"/>
    <d v="2022-03-07T00:00:00"/>
    <d v="2022-03-26T00:00:00"/>
    <n v="64"/>
    <x v="0"/>
    <x v="2"/>
    <n v="19"/>
    <s v="Inefficient"/>
  </r>
  <r>
    <s v="PO-00433"/>
    <x v="4"/>
    <d v="2022-04-25T00:00:00"/>
    <d v="2022-04-29T00:00:00"/>
    <s v="Packaging"/>
    <s v="Partially Delivered"/>
    <n v="1849"/>
    <n v="70.760000000000005"/>
    <n v="69.25"/>
    <n v="51"/>
    <s v="Yes"/>
    <d v="2022-04-29T00:00:00"/>
    <s v="Net 30"/>
    <n v="30"/>
    <d v="2022-05-29T00:00:00"/>
    <d v="2022-06-03T00:00:00"/>
    <n v="35"/>
    <x v="0"/>
    <x v="0"/>
    <n v="5"/>
    <s v="Inefficient"/>
  </r>
  <r>
    <s v="PO-00434"/>
    <x v="4"/>
    <d v="2022-03-19T00:00:00"/>
    <d v="2022-04-01T00:00:00"/>
    <s v="MRO"/>
    <s v="Partially Delivered"/>
    <n v="1356"/>
    <n v="26.28"/>
    <n v="25.44"/>
    <n v="47"/>
    <s v="Yes"/>
    <d v="2022-04-01T00:00:00"/>
    <s v="Net 30"/>
    <n v="30"/>
    <d v="2022-05-01T00:00:00"/>
    <d v="2022-05-21T00:00:00"/>
    <n v="50"/>
    <x v="0"/>
    <x v="0"/>
    <n v="20"/>
    <s v="Inefficient"/>
  </r>
  <r>
    <s v="PO-00435"/>
    <x v="1"/>
    <d v="2023-12-09T00:00:00"/>
    <d v="2023-12-29T00:00:00"/>
    <s v="Raw Materials"/>
    <s v="Delivered"/>
    <n v="76"/>
    <n v="107.59"/>
    <n v="96.33"/>
    <n v="10"/>
    <s v="Yes"/>
    <d v="2023-12-29T00:00:00"/>
    <s v="Net 15"/>
    <n v="15"/>
    <d v="2024-01-13T00:00:00"/>
    <d v="2024-02-01T00:00:00"/>
    <n v="34"/>
    <x v="0"/>
    <x v="0"/>
    <n v="19"/>
    <s v="Inefficient"/>
  </r>
  <r>
    <s v="PO-00436"/>
    <x v="0"/>
    <d v="2022-06-02T00:00:00"/>
    <d v="2022-06-13T00:00:00"/>
    <s v="Packaging"/>
    <s v="Partially Delivered"/>
    <n v="275"/>
    <n v="23.96"/>
    <n v="20.440000000000001"/>
    <m/>
    <s v="Yes"/>
    <d v="2022-06-13T00:00:00"/>
    <s v="Net 45"/>
    <n v="45"/>
    <d v="2022-07-28T00:00:00"/>
    <d v="2022-08-08T00:00:00"/>
    <n v="56"/>
    <x v="0"/>
    <x v="0"/>
    <n v="11"/>
    <s v="Inefficient"/>
  </r>
  <r>
    <s v="PO-00437"/>
    <x v="0"/>
    <d v="2023-07-13T00:00:00"/>
    <d v="2023-07-18T00:00:00"/>
    <s v="Packaging"/>
    <s v="Delivered"/>
    <n v="1350"/>
    <n v="51.57"/>
    <n v="48.07"/>
    <m/>
    <s v="Yes"/>
    <d v="2023-07-18T00:00:00"/>
    <s v="Net 30"/>
    <n v="30"/>
    <d v="2023-08-17T00:00:00"/>
    <d v="2023-08-29T00:00:00"/>
    <n v="42"/>
    <x v="0"/>
    <x v="0"/>
    <n v="12"/>
    <s v="Inefficient"/>
  </r>
  <r>
    <s v="PO-00438"/>
    <x v="0"/>
    <d v="2022-02-06T00:00:00"/>
    <m/>
    <s v="MRO"/>
    <s v="Delivered"/>
    <n v="847"/>
    <n v="17.77"/>
    <n v="17.39"/>
    <m/>
    <s v="Yes"/>
    <d v="1899-12-30T00:00:00"/>
    <s v="Net 15"/>
    <n v="15"/>
    <d v="1900-01-14T00:00:00"/>
    <d v="1900-02-03T00:00:00"/>
    <n v="35"/>
    <x v="0"/>
    <x v="0"/>
    <n v="20"/>
    <s v="Inefficient"/>
  </r>
  <r>
    <s v="PO-00439"/>
    <x v="2"/>
    <d v="2023-01-14T00:00:00"/>
    <d v="2023-01-27T00:00:00"/>
    <s v="MRO"/>
    <s v="Delivered"/>
    <n v="1682"/>
    <n v="105.7"/>
    <n v="101.3"/>
    <n v="94"/>
    <s v="Yes"/>
    <d v="2023-01-27T00:00:00"/>
    <s v="Net 15"/>
    <n v="15"/>
    <d v="2023-02-11T00:00:00"/>
    <d v="2023-02-23T00:00:00"/>
    <n v="27"/>
    <x v="0"/>
    <x v="1"/>
    <n v="12"/>
    <s v="Inefficient"/>
  </r>
  <r>
    <s v="PO-00440"/>
    <x v="4"/>
    <d v="2023-08-20T00:00:00"/>
    <d v="2023-08-23T00:00:00"/>
    <s v="Electronics"/>
    <s v="Delivered"/>
    <n v="333"/>
    <n v="60.44"/>
    <n v="58.54"/>
    <n v="8"/>
    <s v="Yes"/>
    <d v="2023-08-23T00:00:00"/>
    <s v="Net 45"/>
    <n v="45"/>
    <d v="2023-10-07T00:00:00"/>
    <d v="2023-10-07T00:00:00"/>
    <n v="45"/>
    <x v="1"/>
    <x v="0"/>
    <n v="0"/>
    <s v="Efficient"/>
  </r>
  <r>
    <s v="PO-00441"/>
    <x v="0"/>
    <d v="2023-07-20T00:00:00"/>
    <d v="2023-08-02T00:00:00"/>
    <s v="Electronics"/>
    <s v="Cancelled"/>
    <n v="928"/>
    <n v="69.31"/>
    <n v="67.260000000000005"/>
    <n v="20"/>
    <s v="Yes"/>
    <d v="2023-08-02T00:00:00"/>
    <s v="Net 45"/>
    <n v="45"/>
    <d v="2023-09-16T00:00:00"/>
    <d v="2023-10-03T00:00:00"/>
    <n v="62"/>
    <x v="0"/>
    <x v="2"/>
    <n v="17"/>
    <s v="Inefficient"/>
  </r>
  <r>
    <s v="PO-00442"/>
    <x v="4"/>
    <d v="2022-06-01T00:00:00"/>
    <d v="2022-06-12T00:00:00"/>
    <s v="MRO"/>
    <s v="Partially Delivered"/>
    <n v="1009"/>
    <n v="16.440000000000001"/>
    <n v="16.18"/>
    <m/>
    <s v="Yes"/>
    <d v="2022-06-12T00:00:00"/>
    <s v="Net 30"/>
    <n v="30"/>
    <d v="2022-07-12T00:00:00"/>
    <d v="2022-07-25T00:00:00"/>
    <n v="43"/>
    <x v="0"/>
    <x v="0"/>
    <n v="13"/>
    <s v="Inefficient"/>
  </r>
  <r>
    <s v="PO-00443"/>
    <x v="4"/>
    <d v="2023-03-17T00:00:00"/>
    <d v="2023-04-03T00:00:00"/>
    <s v="Electronics"/>
    <s v="Pending"/>
    <n v="1554"/>
    <n v="82.92"/>
    <n v="74.819999999999993"/>
    <n v="44"/>
    <s v="Yes"/>
    <d v="2023-04-03T00:00:00"/>
    <s v="Net 15"/>
    <n v="15"/>
    <d v="2023-04-18T00:00:00"/>
    <d v="2023-04-24T00:00:00"/>
    <n v="21"/>
    <x v="0"/>
    <x v="1"/>
    <n v="6"/>
    <s v="Inefficient"/>
  </r>
  <r>
    <s v="PO-00444"/>
    <x v="2"/>
    <d v="2022-05-11T00:00:00"/>
    <d v="2022-05-25T00:00:00"/>
    <s v="Packaging"/>
    <s v="Partially Delivered"/>
    <n v="502"/>
    <n v="29.47"/>
    <n v="28.94"/>
    <n v="27"/>
    <s v="Yes"/>
    <d v="2022-05-25T00:00:00"/>
    <s v="Net 45"/>
    <n v="45"/>
    <d v="2022-07-09T00:00:00"/>
    <d v="2022-07-22T00:00:00"/>
    <n v="58"/>
    <x v="0"/>
    <x v="0"/>
    <n v="13"/>
    <s v="Inefficient"/>
  </r>
  <r>
    <s v="PO-00445"/>
    <x v="1"/>
    <d v="2022-02-12T00:00:00"/>
    <d v="2022-02-13T00:00:00"/>
    <s v="MRO"/>
    <s v="Delivered"/>
    <n v="1069"/>
    <n v="91.28"/>
    <n v="82.64"/>
    <m/>
    <s v="Yes"/>
    <d v="2022-02-13T00:00:00"/>
    <s v="Net 30"/>
    <n v="30"/>
    <d v="2022-03-15T00:00:00"/>
    <d v="2022-04-04T00:00:00"/>
    <n v="50"/>
    <x v="0"/>
    <x v="0"/>
    <n v="20"/>
    <s v="Inefficient"/>
  </r>
  <r>
    <s v="PO-00446"/>
    <x v="0"/>
    <d v="2022-11-12T00:00:00"/>
    <d v="2022-11-18T00:00:00"/>
    <s v="MRO"/>
    <s v="Pending"/>
    <n v="1902"/>
    <n v="29.89"/>
    <n v="25.83"/>
    <n v="41"/>
    <s v="Yes"/>
    <d v="2022-11-18T00:00:00"/>
    <s v="Net 15"/>
    <n v="15"/>
    <d v="2022-12-03T00:00:00"/>
    <d v="2022-12-14T00:00:00"/>
    <n v="26"/>
    <x v="0"/>
    <x v="1"/>
    <n v="11"/>
    <s v="Inefficient"/>
  </r>
  <r>
    <s v="PO-00447"/>
    <x v="2"/>
    <d v="2023-01-09T00:00:00"/>
    <m/>
    <s v="Raw Materials"/>
    <s v="Pending"/>
    <n v="865"/>
    <n v="28.79"/>
    <n v="25.69"/>
    <n v="47"/>
    <s v="Yes"/>
    <d v="1899-12-30T00:00:00"/>
    <s v="Net 30"/>
    <n v="30"/>
    <d v="1900-01-29T00:00:00"/>
    <d v="1900-02-14T00:00:00"/>
    <n v="46"/>
    <x v="0"/>
    <x v="0"/>
    <n v="16"/>
    <s v="Inefficient"/>
  </r>
  <r>
    <s v="PO-00448"/>
    <x v="1"/>
    <d v="2022-02-10T00:00:00"/>
    <d v="2022-02-26T00:00:00"/>
    <s v="Packaging"/>
    <s v="Partially Delivered"/>
    <n v="708"/>
    <n v="13.36"/>
    <n v="11.61"/>
    <m/>
    <s v="No"/>
    <d v="2022-02-26T00:00:00"/>
    <s v="Net 15"/>
    <n v="15"/>
    <d v="2022-03-13T00:00:00"/>
    <d v="2022-03-27T00:00:00"/>
    <n v="29"/>
    <x v="0"/>
    <x v="1"/>
    <n v="14"/>
    <s v="Inefficient"/>
  </r>
  <r>
    <s v="PO-00449"/>
    <x v="1"/>
    <d v="2023-01-02T00:00:00"/>
    <d v="2023-01-07T00:00:00"/>
    <s v="Packaging"/>
    <s v="Delivered"/>
    <n v="1589"/>
    <n v="55.64"/>
    <n v="48.52"/>
    <m/>
    <s v="Yes"/>
    <d v="2023-01-07T00:00:00"/>
    <s v="Net 15"/>
    <n v="15"/>
    <d v="2023-01-22T00:00:00"/>
    <d v="2023-01-30T00:00:00"/>
    <n v="23"/>
    <x v="0"/>
    <x v="1"/>
    <n v="8"/>
    <s v="Inefficient"/>
  </r>
  <r>
    <s v="PO-00450"/>
    <x v="0"/>
    <d v="2022-08-04T00:00:00"/>
    <d v="2022-08-14T00:00:00"/>
    <s v="Office Supplies"/>
    <s v="Delivered"/>
    <n v="596"/>
    <n v="62.96"/>
    <n v="61.88"/>
    <n v="9"/>
    <s v="Yes"/>
    <d v="2022-08-14T00:00:00"/>
    <s v="Net 30"/>
    <n v="30"/>
    <d v="2022-09-13T00:00:00"/>
    <d v="2022-09-17T00:00:00"/>
    <n v="34"/>
    <x v="0"/>
    <x v="0"/>
    <n v="4"/>
    <s v="Inefficient"/>
  </r>
  <r>
    <s v="PO-00451"/>
    <x v="4"/>
    <d v="2023-11-30T00:00:00"/>
    <d v="2023-12-04T00:00:00"/>
    <s v="Office Supplies"/>
    <s v="Delivered"/>
    <n v="1265"/>
    <n v="17.66"/>
    <n v="16.97"/>
    <n v="34"/>
    <s v="Yes"/>
    <d v="2023-12-04T00:00:00"/>
    <s v="Net 45"/>
    <n v="45"/>
    <d v="2024-01-18T00:00:00"/>
    <d v="2024-01-25T00:00:00"/>
    <n v="52"/>
    <x v="0"/>
    <x v="0"/>
    <n v="7"/>
    <s v="Inefficient"/>
  </r>
  <r>
    <s v="PO-00452"/>
    <x v="3"/>
    <d v="2022-09-13T00:00:00"/>
    <d v="2022-10-01T00:00:00"/>
    <s v="Raw Materials"/>
    <s v="Delivered"/>
    <n v="1122"/>
    <n v="82.99"/>
    <n v="81.7"/>
    <n v="118"/>
    <s v="No"/>
    <d v="2022-10-01T00:00:00"/>
    <s v="Net 15"/>
    <n v="15"/>
    <d v="2022-10-16T00:00:00"/>
    <d v="2022-11-04T00:00:00"/>
    <n v="34"/>
    <x v="0"/>
    <x v="0"/>
    <n v="19"/>
    <s v="Inefficient"/>
  </r>
  <r>
    <s v="PO-00453"/>
    <x v="4"/>
    <d v="2023-11-14T00:00:00"/>
    <d v="2023-12-01T00:00:00"/>
    <s v="Office Supplies"/>
    <s v="Delivered"/>
    <n v="1585"/>
    <n v="56.38"/>
    <n v="53.05"/>
    <m/>
    <s v="Yes"/>
    <d v="2023-12-01T00:00:00"/>
    <s v="Net 30"/>
    <n v="30"/>
    <d v="2023-12-31T00:00:00"/>
    <d v="2024-01-12T00:00:00"/>
    <n v="42"/>
    <x v="0"/>
    <x v="0"/>
    <n v="12"/>
    <s v="Inefficient"/>
  </r>
  <r>
    <s v="PO-00454"/>
    <x v="4"/>
    <d v="2022-04-16T00:00:00"/>
    <d v="2022-04-27T00:00:00"/>
    <s v="Electronics"/>
    <s v="Delivered"/>
    <n v="66"/>
    <n v="58.05"/>
    <n v="50.76"/>
    <m/>
    <s v="Yes"/>
    <d v="2022-04-27T00:00:00"/>
    <s v="Net 45"/>
    <n v="45"/>
    <d v="2022-06-11T00:00:00"/>
    <d v="2022-06-11T00:00:00"/>
    <n v="45"/>
    <x v="1"/>
    <x v="0"/>
    <n v="0"/>
    <s v="Efficient"/>
  </r>
  <r>
    <s v="PO-00455"/>
    <x v="3"/>
    <d v="2022-12-29T00:00:00"/>
    <d v="2023-01-18T00:00:00"/>
    <s v="MRO"/>
    <s v="Delivered"/>
    <n v="1245"/>
    <n v="52.4"/>
    <n v="51.65"/>
    <n v="118"/>
    <s v="No"/>
    <d v="2023-01-18T00:00:00"/>
    <s v="Net 45"/>
    <n v="45"/>
    <d v="2023-03-04T00:00:00"/>
    <d v="2023-03-03T00:00:00"/>
    <n v="44"/>
    <x v="1"/>
    <x v="0"/>
    <n v="0"/>
    <s v="Efficient"/>
  </r>
  <r>
    <s v="PO-00456"/>
    <x v="1"/>
    <d v="2023-07-28T00:00:00"/>
    <d v="2023-08-10T00:00:00"/>
    <s v="Electronics"/>
    <s v="Delivered"/>
    <n v="1293"/>
    <n v="50.21"/>
    <n v="47.55"/>
    <m/>
    <s v="No"/>
    <d v="2023-08-10T00:00:00"/>
    <s v="Net 45"/>
    <n v="45"/>
    <d v="2023-09-24T00:00:00"/>
    <d v="2023-09-24T00:00:00"/>
    <n v="45"/>
    <x v="1"/>
    <x v="0"/>
    <n v="0"/>
    <s v="Efficient"/>
  </r>
  <r>
    <s v="PO-00457"/>
    <x v="3"/>
    <d v="2023-02-21T00:00:00"/>
    <d v="2023-02-27T00:00:00"/>
    <s v="Packaging"/>
    <s v="Delivered"/>
    <n v="207"/>
    <n v="64.290000000000006"/>
    <n v="63.01"/>
    <n v="25"/>
    <s v="Yes"/>
    <d v="2023-02-27T00:00:00"/>
    <s v="Net 15"/>
    <n v="15"/>
    <d v="2023-03-14T00:00:00"/>
    <d v="2023-03-27T00:00:00"/>
    <n v="28"/>
    <x v="0"/>
    <x v="1"/>
    <n v="13"/>
    <s v="Inefficient"/>
  </r>
  <r>
    <s v="PO-00458"/>
    <x v="3"/>
    <d v="2023-09-28T00:00:00"/>
    <d v="2023-10-18T00:00:00"/>
    <s v="Office Supplies"/>
    <s v="Delivered"/>
    <n v="526"/>
    <n v="26.37"/>
    <n v="25.32"/>
    <n v="47"/>
    <s v="Yes"/>
    <d v="2023-10-18T00:00:00"/>
    <s v="Net 30"/>
    <n v="30"/>
    <d v="2023-11-17T00:00:00"/>
    <d v="2023-12-07T00:00:00"/>
    <n v="50"/>
    <x v="0"/>
    <x v="0"/>
    <n v="20"/>
    <s v="Inefficient"/>
  </r>
  <r>
    <s v="PO-00459"/>
    <x v="2"/>
    <d v="2022-06-08T00:00:00"/>
    <d v="2022-06-14T00:00:00"/>
    <s v="Electronics"/>
    <s v="Delivered"/>
    <n v="1119"/>
    <n v="27.03"/>
    <n v="23.82"/>
    <m/>
    <s v="Yes"/>
    <d v="2022-06-14T00:00:00"/>
    <s v="Net 15"/>
    <n v="15"/>
    <d v="2022-06-29T00:00:00"/>
    <d v="2022-07-10T00:00:00"/>
    <n v="26"/>
    <x v="0"/>
    <x v="1"/>
    <n v="11"/>
    <s v="Inefficient"/>
  </r>
  <r>
    <s v="PO-00460"/>
    <x v="2"/>
    <d v="2022-08-31T00:00:00"/>
    <d v="2022-09-02T00:00:00"/>
    <s v="Packaging"/>
    <s v="Delivered"/>
    <n v="1446"/>
    <n v="90.63"/>
    <n v="84.51"/>
    <n v="77"/>
    <s v="Yes"/>
    <d v="2022-09-02T00:00:00"/>
    <s v="Net 45"/>
    <n v="45"/>
    <d v="2022-10-17T00:00:00"/>
    <d v="2022-10-16T00:00:00"/>
    <n v="44"/>
    <x v="1"/>
    <x v="0"/>
    <n v="0"/>
    <s v="Efficient"/>
  </r>
  <r>
    <s v="PO-00461"/>
    <x v="2"/>
    <d v="2022-06-16T00:00:00"/>
    <d v="2022-06-24T00:00:00"/>
    <s v="Office Supplies"/>
    <s v="Delivered"/>
    <n v="567"/>
    <n v="97.53"/>
    <n v="85.29"/>
    <n v="21"/>
    <s v="Yes"/>
    <d v="2022-06-24T00:00:00"/>
    <s v="Net 15"/>
    <n v="15"/>
    <d v="2022-07-09T00:00:00"/>
    <d v="2022-07-04T00:00:00"/>
    <n v="10"/>
    <x v="1"/>
    <x v="1"/>
    <n v="0"/>
    <s v="Efficient"/>
  </r>
  <r>
    <s v="PO-00462"/>
    <x v="1"/>
    <d v="2022-07-01T00:00:00"/>
    <m/>
    <s v="MRO"/>
    <s v="Delivered"/>
    <n v="148"/>
    <n v="44.91"/>
    <n v="40.1"/>
    <m/>
    <s v="No"/>
    <d v="1899-12-30T00:00:00"/>
    <s v="Net 30"/>
    <n v="30"/>
    <d v="1900-01-29T00:00:00"/>
    <d v="1900-02-01T00:00:00"/>
    <n v="33"/>
    <x v="0"/>
    <x v="0"/>
    <n v="3"/>
    <s v="Inefficient"/>
  </r>
  <r>
    <s v="PO-00463"/>
    <x v="3"/>
    <d v="2023-02-27T00:00:00"/>
    <d v="2023-03-14T00:00:00"/>
    <s v="MRO"/>
    <s v="Pending"/>
    <n v="1965"/>
    <n v="36.6"/>
    <n v="34.64"/>
    <n v="195"/>
    <s v="Yes"/>
    <d v="2023-03-14T00:00:00"/>
    <s v="Net 30"/>
    <n v="30"/>
    <d v="2023-04-13T00:00:00"/>
    <d v="2023-04-24T00:00:00"/>
    <n v="41"/>
    <x v="0"/>
    <x v="0"/>
    <n v="11"/>
    <s v="Inefficient"/>
  </r>
  <r>
    <s v="PO-00464"/>
    <x v="0"/>
    <d v="2022-01-26T00:00:00"/>
    <d v="2022-02-03T00:00:00"/>
    <s v="Office Supplies"/>
    <s v="Pending"/>
    <n v="1818"/>
    <n v="67.959999999999994"/>
    <n v="58.98"/>
    <m/>
    <s v="Yes"/>
    <d v="2022-02-03T00:00:00"/>
    <s v="Net 45"/>
    <n v="45"/>
    <d v="2022-03-20T00:00:00"/>
    <d v="2022-03-27T00:00:00"/>
    <n v="52"/>
    <x v="0"/>
    <x v="0"/>
    <n v="7"/>
    <s v="Inefficient"/>
  </r>
  <r>
    <s v="PO-00465"/>
    <x v="3"/>
    <d v="2022-07-03T00:00:00"/>
    <d v="2022-07-19T00:00:00"/>
    <s v="MRO"/>
    <s v="Delivered"/>
    <n v="1110"/>
    <n v="48.19"/>
    <n v="45.88"/>
    <n v="112"/>
    <s v="Yes"/>
    <d v="2022-07-19T00:00:00"/>
    <s v="Net 15"/>
    <n v="15"/>
    <d v="2022-08-03T00:00:00"/>
    <d v="2022-08-10T00:00:00"/>
    <n v="22"/>
    <x v="0"/>
    <x v="1"/>
    <n v="7"/>
    <s v="Inefficient"/>
  </r>
  <r>
    <s v="PO-00466"/>
    <x v="1"/>
    <d v="2022-12-07T00:00:00"/>
    <m/>
    <s v="Raw Materials"/>
    <s v="Delivered"/>
    <n v="329"/>
    <n v="12.96"/>
    <n v="12.74"/>
    <n v="48"/>
    <s v="Yes"/>
    <d v="1899-12-30T00:00:00"/>
    <s v="Net 30"/>
    <n v="30"/>
    <d v="1900-01-29T00:00:00"/>
    <d v="1900-01-31T00:00:00"/>
    <n v="32"/>
    <x v="0"/>
    <x v="0"/>
    <n v="2"/>
    <s v="Inefficient"/>
  </r>
  <r>
    <s v="PO-00467"/>
    <x v="2"/>
    <d v="2023-02-26T00:00:00"/>
    <d v="2023-03-17T00:00:00"/>
    <s v="Office Supplies"/>
    <s v="Cancelled"/>
    <n v="1422"/>
    <n v="25.62"/>
    <n v="25.18"/>
    <n v="65"/>
    <s v="Yes"/>
    <d v="2023-03-17T00:00:00"/>
    <s v="Net 15"/>
    <n v="15"/>
    <d v="2023-04-01T00:00:00"/>
    <d v="2023-03-27T00:00:00"/>
    <n v="10"/>
    <x v="1"/>
    <x v="1"/>
    <n v="0"/>
    <s v="Efficient"/>
  </r>
  <r>
    <s v="PO-00468"/>
    <x v="1"/>
    <d v="2023-11-17T00:00:00"/>
    <m/>
    <s v="Raw Materials"/>
    <s v="Delivered"/>
    <n v="546"/>
    <n v="82.63"/>
    <n v="74.77"/>
    <n v="76"/>
    <s v="No"/>
    <d v="1899-12-30T00:00:00"/>
    <s v="Net 30"/>
    <n v="30"/>
    <d v="1900-01-29T00:00:00"/>
    <d v="1900-02-05T00:00:00"/>
    <n v="37"/>
    <x v="0"/>
    <x v="0"/>
    <n v="7"/>
    <s v="Inefficient"/>
  </r>
  <r>
    <s v="PO-00469"/>
    <x v="2"/>
    <d v="2022-09-12T00:00:00"/>
    <d v="2022-09-22T00:00:00"/>
    <s v="Office Supplies"/>
    <s v="Partially Delivered"/>
    <n v="351"/>
    <n v="72.08"/>
    <n v="71.3"/>
    <n v="20"/>
    <s v="Yes"/>
    <d v="2022-09-22T00:00:00"/>
    <s v="Net 15"/>
    <n v="15"/>
    <d v="2022-10-07T00:00:00"/>
    <d v="2022-10-26T00:00:00"/>
    <n v="34"/>
    <x v="0"/>
    <x v="0"/>
    <n v="19"/>
    <s v="Inefficient"/>
  </r>
  <r>
    <s v="PO-00470"/>
    <x v="1"/>
    <d v="2022-10-01T00:00:00"/>
    <d v="2022-10-18T00:00:00"/>
    <s v="Raw Materials"/>
    <s v="Partially Delivered"/>
    <n v="230"/>
    <n v="13"/>
    <n v="12.81"/>
    <m/>
    <s v="No"/>
    <d v="2022-10-18T00:00:00"/>
    <s v="Net 15"/>
    <n v="15"/>
    <d v="2022-11-02T00:00:00"/>
    <d v="2022-11-16T00:00:00"/>
    <n v="29"/>
    <x v="0"/>
    <x v="1"/>
    <n v="14"/>
    <s v="Inefficient"/>
  </r>
  <r>
    <s v="PO-00471"/>
    <x v="0"/>
    <d v="2022-06-13T00:00:00"/>
    <d v="2022-06-19T00:00:00"/>
    <s v="MRO"/>
    <s v="Delivered"/>
    <n v="656"/>
    <n v="30.73"/>
    <n v="26.26"/>
    <n v="17"/>
    <s v="Yes"/>
    <d v="2022-06-19T00:00:00"/>
    <s v="Net 45"/>
    <n v="45"/>
    <d v="2022-08-03T00:00:00"/>
    <d v="2022-08-10T00:00:00"/>
    <n v="52"/>
    <x v="0"/>
    <x v="0"/>
    <n v="7"/>
    <s v="Inefficient"/>
  </r>
  <r>
    <s v="PO-00472"/>
    <x v="2"/>
    <d v="2023-12-20T00:00:00"/>
    <d v="2024-01-09T00:00:00"/>
    <s v="MRO"/>
    <s v="Delivered"/>
    <n v="1172"/>
    <n v="34.340000000000003"/>
    <n v="32.090000000000003"/>
    <n v="69"/>
    <s v="Yes"/>
    <d v="2024-01-09T00:00:00"/>
    <s v="Net 15"/>
    <n v="15"/>
    <d v="2024-01-24T00:00:00"/>
    <d v="2024-02-03T00:00:00"/>
    <n v="25"/>
    <x v="0"/>
    <x v="1"/>
    <n v="10"/>
    <s v="Inefficient"/>
  </r>
  <r>
    <s v="PO-00473"/>
    <x v="2"/>
    <d v="2022-04-21T00:00:00"/>
    <d v="2022-04-30T00:00:00"/>
    <s v="Electronics"/>
    <s v="Delivered"/>
    <n v="749"/>
    <n v="71.53"/>
    <n v="70.02"/>
    <n v="41"/>
    <s v="Yes"/>
    <d v="2022-04-30T00:00:00"/>
    <s v="Net 15"/>
    <n v="15"/>
    <d v="2022-05-15T00:00:00"/>
    <d v="2022-05-25T00:00:00"/>
    <n v="25"/>
    <x v="0"/>
    <x v="1"/>
    <n v="10"/>
    <s v="Inefficient"/>
  </r>
  <r>
    <s v="PO-00474"/>
    <x v="3"/>
    <d v="2023-01-27T00:00:00"/>
    <d v="2023-02-12T00:00:00"/>
    <s v="Packaging"/>
    <s v="Delivered"/>
    <n v="1042"/>
    <n v="12.48"/>
    <n v="12.3"/>
    <n v="88"/>
    <s v="Yes"/>
    <d v="2023-02-12T00:00:00"/>
    <s v="Net 15"/>
    <n v="15"/>
    <d v="2023-02-27T00:00:00"/>
    <d v="2023-03-02T00:00:00"/>
    <n v="18"/>
    <x v="0"/>
    <x v="1"/>
    <n v="3"/>
    <s v="Inefficient"/>
  </r>
  <r>
    <s v="PO-00475"/>
    <x v="1"/>
    <d v="2022-02-09T00:00:00"/>
    <d v="2022-02-27T00:00:00"/>
    <s v="Raw Materials"/>
    <s v="Delivered"/>
    <n v="1189"/>
    <n v="19.47"/>
    <n v="17.149999999999999"/>
    <m/>
    <s v="No"/>
    <d v="2022-02-27T00:00:00"/>
    <s v="Net 30"/>
    <n v="30"/>
    <d v="2022-03-29T00:00:00"/>
    <d v="2022-04-13T00:00:00"/>
    <n v="45"/>
    <x v="0"/>
    <x v="0"/>
    <n v="15"/>
    <s v="Inefficient"/>
  </r>
  <r>
    <s v="PO-00476"/>
    <x v="4"/>
    <d v="2023-04-27T00:00:00"/>
    <m/>
    <s v="Office Supplies"/>
    <s v="Delivered"/>
    <n v="240"/>
    <n v="88.14"/>
    <n v="81.900000000000006"/>
    <n v="4"/>
    <s v="Yes"/>
    <d v="1899-12-30T00:00:00"/>
    <s v="Net 30"/>
    <n v="30"/>
    <d v="1900-01-29T00:00:00"/>
    <d v="1900-01-26T00:00:00"/>
    <n v="27"/>
    <x v="1"/>
    <x v="1"/>
    <n v="0"/>
    <s v="Efficient"/>
  </r>
  <r>
    <s v="PO-00477"/>
    <x v="4"/>
    <d v="2022-08-16T00:00:00"/>
    <d v="2022-09-02T00:00:00"/>
    <s v="MRO"/>
    <s v="Delivered"/>
    <n v="302"/>
    <n v="26.98"/>
    <n v="26.47"/>
    <n v="9"/>
    <s v="Yes"/>
    <d v="2022-09-02T00:00:00"/>
    <s v="Net 45"/>
    <n v="45"/>
    <d v="2022-10-17T00:00:00"/>
    <d v="2022-10-31T00:00:00"/>
    <n v="59"/>
    <x v="0"/>
    <x v="0"/>
    <n v="14"/>
    <s v="Inefficient"/>
  </r>
  <r>
    <s v="PO-00478"/>
    <x v="3"/>
    <d v="2022-07-24T00:00:00"/>
    <d v="2022-08-03T00:00:00"/>
    <s v="MRO"/>
    <s v="Pending"/>
    <n v="1030"/>
    <n v="70.81"/>
    <n v="61.58"/>
    <m/>
    <s v="No"/>
    <d v="2022-08-03T00:00:00"/>
    <s v="Net 30"/>
    <n v="30"/>
    <d v="2022-09-02T00:00:00"/>
    <d v="2022-09-19T00:00:00"/>
    <n v="47"/>
    <x v="0"/>
    <x v="0"/>
    <n v="17"/>
    <s v="Inefficient"/>
  </r>
  <r>
    <s v="PO-00479"/>
    <x v="1"/>
    <d v="2023-04-17T00:00:00"/>
    <d v="2023-04-23T00:00:00"/>
    <s v="Office Supplies"/>
    <s v="Delivered"/>
    <n v="977"/>
    <n v="33.79"/>
    <n v="32.25"/>
    <n v="137"/>
    <s v="Yes"/>
    <d v="2023-04-23T00:00:00"/>
    <s v="Net 45"/>
    <n v="45"/>
    <d v="2023-06-07T00:00:00"/>
    <d v="2023-06-25T00:00:00"/>
    <n v="63"/>
    <x v="0"/>
    <x v="2"/>
    <n v="18"/>
    <s v="Inefficient"/>
  </r>
  <r>
    <s v="PO-00480"/>
    <x v="0"/>
    <d v="2022-12-25T00:00:00"/>
    <d v="2023-01-11T00:00:00"/>
    <s v="Packaging"/>
    <s v="Delivered"/>
    <n v="1234"/>
    <n v="19.989999999999998"/>
    <n v="17.66"/>
    <n v="25"/>
    <s v="Yes"/>
    <d v="2023-01-11T00:00:00"/>
    <s v="Net 45"/>
    <n v="45"/>
    <d v="2023-02-25T00:00:00"/>
    <d v="2023-03-13T00:00:00"/>
    <n v="61"/>
    <x v="0"/>
    <x v="2"/>
    <n v="16"/>
    <s v="Inefficient"/>
  </r>
  <r>
    <s v="PO-00481"/>
    <x v="3"/>
    <d v="2022-11-09T00:00:00"/>
    <d v="2022-11-23T00:00:00"/>
    <s v="Office Supplies"/>
    <s v="Delivered"/>
    <n v="1329"/>
    <n v="33.479999999999997"/>
    <n v="33.06"/>
    <n v="146"/>
    <s v="Yes"/>
    <d v="2022-11-23T00:00:00"/>
    <s v="Net 45"/>
    <n v="45"/>
    <d v="2023-01-07T00:00:00"/>
    <d v="2023-01-25T00:00:00"/>
    <n v="63"/>
    <x v="0"/>
    <x v="2"/>
    <n v="18"/>
    <s v="Inefficient"/>
  </r>
  <r>
    <s v="PO-00482"/>
    <x v="2"/>
    <d v="2022-08-22T00:00:00"/>
    <d v="2022-08-30T00:00:00"/>
    <s v="Raw Materials"/>
    <s v="Delivered"/>
    <n v="1396"/>
    <n v="77.63"/>
    <n v="67.81"/>
    <n v="58"/>
    <s v="Yes"/>
    <d v="2022-08-30T00:00:00"/>
    <s v="Net 15"/>
    <n v="15"/>
    <d v="2022-09-14T00:00:00"/>
    <d v="2022-09-24T00:00:00"/>
    <n v="25"/>
    <x v="0"/>
    <x v="1"/>
    <n v="10"/>
    <s v="Inefficient"/>
  </r>
  <r>
    <s v="PO-00483"/>
    <x v="0"/>
    <d v="2022-08-17T00:00:00"/>
    <d v="2022-08-29T00:00:00"/>
    <s v="Raw Materials"/>
    <s v="Delivered"/>
    <n v="177"/>
    <n v="90.06"/>
    <n v="87.71"/>
    <n v="7"/>
    <s v="Yes"/>
    <d v="2022-08-29T00:00:00"/>
    <s v="Net 30"/>
    <n v="30"/>
    <d v="2022-09-28T00:00:00"/>
    <d v="2022-10-06T00:00:00"/>
    <n v="38"/>
    <x v="0"/>
    <x v="0"/>
    <n v="8"/>
    <s v="Inefficient"/>
  </r>
  <r>
    <s v="PO-00484"/>
    <x v="1"/>
    <d v="2022-01-25T00:00:00"/>
    <m/>
    <s v="Electronics"/>
    <s v="Delivered"/>
    <n v="67"/>
    <n v="84.72"/>
    <n v="73.06"/>
    <n v="9"/>
    <s v="Yes"/>
    <d v="1899-12-30T00:00:00"/>
    <s v="Net 30"/>
    <n v="30"/>
    <d v="1900-01-29T00:00:00"/>
    <d v="1900-02-06T00:00:00"/>
    <n v="38"/>
    <x v="0"/>
    <x v="0"/>
    <n v="8"/>
    <s v="Inefficient"/>
  </r>
  <r>
    <s v="PO-00485"/>
    <x v="2"/>
    <d v="2023-11-07T00:00:00"/>
    <d v="2023-11-20T00:00:00"/>
    <s v="Office Supplies"/>
    <s v="Delivered"/>
    <n v="1866"/>
    <n v="50.78"/>
    <n v="48.2"/>
    <n v="96"/>
    <s v="Yes"/>
    <d v="2023-11-20T00:00:00"/>
    <s v="Net 15"/>
    <n v="15"/>
    <d v="2023-12-05T00:00:00"/>
    <d v="2023-12-17T00:00:00"/>
    <n v="27"/>
    <x v="0"/>
    <x v="1"/>
    <n v="12"/>
    <s v="Inefficient"/>
  </r>
  <r>
    <s v="PO-00486"/>
    <x v="4"/>
    <d v="2022-07-17T00:00:00"/>
    <d v="2022-07-25T00:00:00"/>
    <s v="MRO"/>
    <s v="Delivered"/>
    <n v="1808"/>
    <n v="72.23"/>
    <n v="67.86"/>
    <n v="53"/>
    <s v="Yes"/>
    <d v="2022-07-25T00:00:00"/>
    <s v="Net 15"/>
    <n v="15"/>
    <d v="2022-08-09T00:00:00"/>
    <d v="2022-08-11T00:00:00"/>
    <n v="17"/>
    <x v="0"/>
    <x v="1"/>
    <n v="2"/>
    <s v="Inefficient"/>
  </r>
  <r>
    <s v="PO-00487"/>
    <x v="1"/>
    <d v="2023-02-13T00:00:00"/>
    <d v="2023-02-16T00:00:00"/>
    <s v="Electronics"/>
    <s v="Cancelled"/>
    <n v="615"/>
    <n v="30.3"/>
    <n v="29.52"/>
    <n v="96"/>
    <s v="Yes"/>
    <d v="2023-02-16T00:00:00"/>
    <s v="Net 15"/>
    <n v="15"/>
    <d v="2023-03-03T00:00:00"/>
    <d v="2023-03-05T00:00:00"/>
    <n v="17"/>
    <x v="0"/>
    <x v="1"/>
    <n v="2"/>
    <s v="Inefficient"/>
  </r>
  <r>
    <s v="PO-00488"/>
    <x v="2"/>
    <d v="2022-12-03T00:00:00"/>
    <d v="2022-12-04T00:00:00"/>
    <s v="Office Supplies"/>
    <s v="Pending"/>
    <n v="619"/>
    <n v="38.380000000000003"/>
    <n v="35.020000000000003"/>
    <n v="34"/>
    <s v="Yes"/>
    <d v="2022-12-04T00:00:00"/>
    <s v="Net 15"/>
    <n v="15"/>
    <d v="2022-12-19T00:00:00"/>
    <d v="2022-12-16T00:00:00"/>
    <n v="12"/>
    <x v="1"/>
    <x v="1"/>
    <n v="0"/>
    <s v="Efficient"/>
  </r>
  <r>
    <s v="PO-00489"/>
    <x v="1"/>
    <d v="2022-10-13T00:00:00"/>
    <d v="2022-10-17T00:00:00"/>
    <s v="Office Supplies"/>
    <s v="Delivered"/>
    <n v="1396"/>
    <n v="94.75"/>
    <n v="84.06"/>
    <n v="210"/>
    <s v="Yes"/>
    <d v="2022-10-17T00:00:00"/>
    <s v="Net 30"/>
    <n v="30"/>
    <d v="2022-11-16T00:00:00"/>
    <d v="2022-11-24T00:00:00"/>
    <n v="38"/>
    <x v="0"/>
    <x v="0"/>
    <n v="8"/>
    <s v="Inefficient"/>
  </r>
  <r>
    <s v="PO-00490"/>
    <x v="2"/>
    <d v="2022-03-13T00:00:00"/>
    <d v="2022-03-24T00:00:00"/>
    <s v="MRO"/>
    <s v="Delivered"/>
    <n v="1945"/>
    <n v="11.28"/>
    <n v="9.98"/>
    <n v="94"/>
    <s v="Yes"/>
    <d v="2022-03-24T00:00:00"/>
    <s v="Net 15"/>
    <n v="15"/>
    <d v="2022-04-08T00:00:00"/>
    <d v="2022-04-09T00:00:00"/>
    <n v="16"/>
    <x v="0"/>
    <x v="1"/>
    <n v="1"/>
    <s v="Inefficient"/>
  </r>
  <r>
    <s v="PO-00491"/>
    <x v="1"/>
    <d v="2022-10-13T00:00:00"/>
    <d v="2022-10-18T00:00:00"/>
    <s v="Packaging"/>
    <s v="Delivered"/>
    <n v="735"/>
    <n v="18.489999999999998"/>
    <n v="15.89"/>
    <n v="113"/>
    <s v="No"/>
    <d v="2022-10-18T00:00:00"/>
    <s v="Net 30"/>
    <n v="30"/>
    <d v="2022-11-17T00:00:00"/>
    <d v="2022-11-16T00:00:00"/>
    <n v="29"/>
    <x v="1"/>
    <x v="1"/>
    <n v="0"/>
    <s v="Efficient"/>
  </r>
  <r>
    <s v="PO-00492"/>
    <x v="4"/>
    <d v="2022-12-26T00:00:00"/>
    <d v="2023-01-11T00:00:00"/>
    <s v="Office Supplies"/>
    <s v="Pending"/>
    <n v="1865"/>
    <n v="30.29"/>
    <n v="26.83"/>
    <n v="56"/>
    <s v="Yes"/>
    <d v="2023-01-11T00:00:00"/>
    <s v="Net 30"/>
    <n v="30"/>
    <d v="2023-02-10T00:00:00"/>
    <d v="2023-02-13T00:00:00"/>
    <n v="33"/>
    <x v="0"/>
    <x v="0"/>
    <n v="3"/>
    <s v="Inefficient"/>
  </r>
  <r>
    <s v="PO-00493"/>
    <x v="3"/>
    <d v="2023-10-19T00:00:00"/>
    <d v="2023-10-24T00:00:00"/>
    <s v="Electronics"/>
    <s v="Cancelled"/>
    <n v="675"/>
    <n v="13.69"/>
    <n v="11.84"/>
    <n v="52"/>
    <s v="Yes"/>
    <d v="2023-10-24T00:00:00"/>
    <s v="Net 15"/>
    <n v="15"/>
    <d v="2023-11-08T00:00:00"/>
    <d v="2023-11-22T00:00:00"/>
    <n v="29"/>
    <x v="0"/>
    <x v="1"/>
    <n v="14"/>
    <s v="Inefficient"/>
  </r>
  <r>
    <s v="PO-00494"/>
    <x v="2"/>
    <d v="2023-06-06T00:00:00"/>
    <d v="2023-06-22T00:00:00"/>
    <s v="MRO"/>
    <s v="Pending"/>
    <n v="1361"/>
    <n v="28.57"/>
    <n v="24.29"/>
    <n v="65"/>
    <s v="Yes"/>
    <d v="2023-06-22T00:00:00"/>
    <s v="Net 15"/>
    <n v="15"/>
    <d v="2023-07-07T00:00:00"/>
    <d v="2023-07-05T00:00:00"/>
    <n v="13"/>
    <x v="1"/>
    <x v="1"/>
    <n v="0"/>
    <s v="Efficient"/>
  </r>
  <r>
    <s v="PO-00495"/>
    <x v="2"/>
    <d v="2023-02-14T00:00:00"/>
    <d v="2023-02-15T00:00:00"/>
    <s v="Raw Materials"/>
    <s v="Delivered"/>
    <n v="903"/>
    <n v="66.53"/>
    <n v="60.15"/>
    <n v="29"/>
    <s v="Yes"/>
    <d v="2023-02-15T00:00:00"/>
    <s v="Net 30"/>
    <n v="30"/>
    <d v="2023-03-17T00:00:00"/>
    <d v="2023-03-20T00:00:00"/>
    <n v="33"/>
    <x v="0"/>
    <x v="0"/>
    <n v="3"/>
    <s v="Inefficient"/>
  </r>
  <r>
    <s v="PO-00496"/>
    <x v="4"/>
    <d v="2023-11-27T00:00:00"/>
    <m/>
    <s v="Packaging"/>
    <s v="Cancelled"/>
    <n v="1736"/>
    <n v="53.2"/>
    <n v="50.68"/>
    <n v="48"/>
    <s v="Yes"/>
    <d v="1899-12-30T00:00:00"/>
    <s v="Net 30"/>
    <n v="30"/>
    <d v="1900-01-29T00:00:00"/>
    <d v="1900-02-15T00:00:00"/>
    <n v="47"/>
    <x v="0"/>
    <x v="0"/>
    <n v="17"/>
    <s v="Inefficient"/>
  </r>
  <r>
    <s v="PO-00497"/>
    <x v="3"/>
    <d v="2023-07-04T00:00:00"/>
    <d v="2023-07-11T00:00:00"/>
    <s v="MRO"/>
    <s v="Delivered"/>
    <n v="1011"/>
    <n v="98.47"/>
    <n v="97.06"/>
    <n v="91"/>
    <s v="Yes"/>
    <d v="2023-07-11T00:00:00"/>
    <s v="Net 45"/>
    <n v="45"/>
    <d v="2023-08-25T00:00:00"/>
    <d v="2023-08-31T00:00:00"/>
    <n v="51"/>
    <x v="0"/>
    <x v="0"/>
    <n v="6"/>
    <s v="Inefficient"/>
  </r>
  <r>
    <s v="PO-00498"/>
    <x v="1"/>
    <d v="2022-12-06T00:00:00"/>
    <d v="2022-12-24T00:00:00"/>
    <s v="Electronics"/>
    <s v="Delivered"/>
    <n v="1712"/>
    <n v="88.17"/>
    <n v="85.86"/>
    <n v="246"/>
    <s v="Yes"/>
    <d v="2022-12-24T00:00:00"/>
    <s v="Net 15"/>
    <n v="15"/>
    <d v="2023-01-08T00:00:00"/>
    <d v="2023-01-12T00:00:00"/>
    <n v="19"/>
    <x v="0"/>
    <x v="1"/>
    <n v="4"/>
    <s v="Inefficient"/>
  </r>
  <r>
    <s v="PO-00499"/>
    <x v="2"/>
    <d v="2022-01-29T00:00:00"/>
    <m/>
    <s v="Office Supplies"/>
    <s v="Delivered"/>
    <n v="204"/>
    <n v="40.76"/>
    <n v="37.46"/>
    <n v="10"/>
    <s v="Yes"/>
    <d v="1899-12-30T00:00:00"/>
    <s v="Net 45"/>
    <n v="45"/>
    <d v="1900-02-13T00:00:00"/>
    <d v="1900-02-14T00:00:00"/>
    <n v="46"/>
    <x v="0"/>
    <x v="0"/>
    <n v="1"/>
    <s v="Inefficient"/>
  </r>
  <r>
    <s v="PO-00500"/>
    <x v="3"/>
    <d v="2022-04-29T00:00:00"/>
    <d v="2022-05-13T00:00:00"/>
    <s v="Electronics"/>
    <s v="Partially Delivered"/>
    <n v="539"/>
    <n v="33.85"/>
    <n v="30.57"/>
    <n v="34"/>
    <s v="No"/>
    <d v="2022-05-13T00:00:00"/>
    <s v="Net 30"/>
    <n v="30"/>
    <d v="2022-06-12T00:00:00"/>
    <d v="2022-06-30T00:00:00"/>
    <n v="48"/>
    <x v="0"/>
    <x v="0"/>
    <n v="18"/>
    <s v="Inefficient"/>
  </r>
  <r>
    <s v="PO-00501"/>
    <x v="1"/>
    <d v="2022-09-25T00:00:00"/>
    <d v="2022-10-05T00:00:00"/>
    <s v="Office Supplies"/>
    <s v="Delivered"/>
    <n v="1459"/>
    <n v="45.94"/>
    <n v="42.56"/>
    <n v="212"/>
    <s v="No"/>
    <d v="2022-10-05T00:00:00"/>
    <s v="Net 15"/>
    <n v="15"/>
    <d v="2022-10-20T00:00:00"/>
    <d v="2022-11-09T00:00:00"/>
    <n v="35"/>
    <x v="0"/>
    <x v="0"/>
    <n v="20"/>
    <s v="Inefficient"/>
  </r>
  <r>
    <s v="PO-00502"/>
    <x v="2"/>
    <d v="2022-07-02T00:00:00"/>
    <d v="2022-07-06T00:00:00"/>
    <s v="MRO"/>
    <s v="Delivered"/>
    <n v="834"/>
    <n v="65.02"/>
    <n v="56.19"/>
    <m/>
    <s v="Yes"/>
    <d v="2022-07-06T00:00:00"/>
    <s v="Net 45"/>
    <n v="45"/>
    <d v="2022-08-20T00:00:00"/>
    <d v="2022-08-26T00:00:00"/>
    <n v="51"/>
    <x v="0"/>
    <x v="0"/>
    <n v="6"/>
    <s v="Inefficient"/>
  </r>
  <r>
    <s v="PO-00503"/>
    <x v="2"/>
    <d v="2023-08-18T00:00:00"/>
    <d v="2023-09-01T00:00:00"/>
    <s v="Packaging"/>
    <s v="Partially Delivered"/>
    <n v="1177"/>
    <n v="37.369999999999997"/>
    <n v="34.270000000000003"/>
    <n v="60"/>
    <s v="Yes"/>
    <d v="2023-09-01T00:00:00"/>
    <s v="Net 15"/>
    <n v="15"/>
    <d v="2023-09-16T00:00:00"/>
    <d v="2023-09-12T00:00:00"/>
    <n v="11"/>
    <x v="1"/>
    <x v="1"/>
    <n v="0"/>
    <s v="Efficient"/>
  </r>
  <r>
    <s v="PO-00504"/>
    <x v="1"/>
    <d v="2022-09-29T00:00:00"/>
    <d v="2022-10-19T00:00:00"/>
    <s v="MRO"/>
    <s v="Delivered"/>
    <n v="1466"/>
    <n v="68.819999999999993"/>
    <n v="66.819999999999993"/>
    <n v="211"/>
    <s v="Yes"/>
    <d v="2022-10-19T00:00:00"/>
    <s v="Net 45"/>
    <n v="45"/>
    <d v="2022-12-03T00:00:00"/>
    <d v="2022-12-03T00:00:00"/>
    <n v="45"/>
    <x v="1"/>
    <x v="0"/>
    <n v="0"/>
    <s v="Efficient"/>
  </r>
  <r>
    <s v="PO-00505"/>
    <x v="4"/>
    <d v="2022-02-09T00:00:00"/>
    <d v="2022-02-13T00:00:00"/>
    <s v="Electronics"/>
    <s v="Delivered"/>
    <n v="1884"/>
    <n v="47.08"/>
    <n v="44.31"/>
    <n v="54"/>
    <s v="Yes"/>
    <d v="2022-02-13T00:00:00"/>
    <s v="Net 15"/>
    <n v="15"/>
    <d v="2022-02-28T00:00:00"/>
    <d v="2022-03-05T00:00:00"/>
    <n v="20"/>
    <x v="0"/>
    <x v="1"/>
    <n v="5"/>
    <s v="Inefficient"/>
  </r>
  <r>
    <s v="PO-00506"/>
    <x v="3"/>
    <d v="2022-04-22T00:00:00"/>
    <d v="2022-05-08T00:00:00"/>
    <s v="Electronics"/>
    <s v="Delivered"/>
    <n v="295"/>
    <n v="60.58"/>
    <n v="57.32"/>
    <n v="31"/>
    <s v="Yes"/>
    <d v="2022-05-08T00:00:00"/>
    <s v="Net 15"/>
    <n v="15"/>
    <d v="2022-05-23T00:00:00"/>
    <d v="2022-06-03T00:00:00"/>
    <n v="26"/>
    <x v="0"/>
    <x v="1"/>
    <n v="11"/>
    <s v="Inefficient"/>
  </r>
  <r>
    <s v="PO-00507"/>
    <x v="2"/>
    <d v="2023-09-03T00:00:00"/>
    <d v="2023-09-04T00:00:00"/>
    <s v="Raw Materials"/>
    <s v="Delivered"/>
    <n v="1249"/>
    <n v="54.18"/>
    <n v="47.29"/>
    <n v="59"/>
    <s v="Yes"/>
    <d v="2023-09-04T00:00:00"/>
    <s v="Net 15"/>
    <n v="15"/>
    <d v="2023-09-19T00:00:00"/>
    <d v="2023-10-06T00:00:00"/>
    <n v="32"/>
    <x v="0"/>
    <x v="0"/>
    <n v="17"/>
    <s v="Inefficient"/>
  </r>
  <r>
    <s v="PO-00508"/>
    <x v="1"/>
    <d v="2023-03-21T00:00:00"/>
    <d v="2023-04-09T00:00:00"/>
    <s v="Raw Materials"/>
    <s v="Delivered"/>
    <n v="1112"/>
    <n v="39.06"/>
    <n v="33.6"/>
    <n v="184"/>
    <s v="No"/>
    <d v="2023-04-09T00:00:00"/>
    <s v="Net 45"/>
    <n v="45"/>
    <d v="2023-05-24T00:00:00"/>
    <d v="2023-05-27T00:00:00"/>
    <n v="48"/>
    <x v="0"/>
    <x v="0"/>
    <n v="3"/>
    <s v="Inefficient"/>
  </r>
  <r>
    <s v="PO-00509"/>
    <x v="2"/>
    <d v="2022-12-20T00:00:00"/>
    <d v="2022-12-25T00:00:00"/>
    <s v="Office Supplies"/>
    <s v="Delivered"/>
    <n v="1550"/>
    <n v="100.61"/>
    <n v="97.43"/>
    <n v="66"/>
    <s v="Yes"/>
    <d v="2022-12-25T00:00:00"/>
    <s v="Net 30"/>
    <n v="30"/>
    <d v="2023-01-24T00:00:00"/>
    <d v="2023-02-03T00:00:00"/>
    <n v="40"/>
    <x v="0"/>
    <x v="0"/>
    <n v="10"/>
    <s v="Inefficient"/>
  </r>
  <r>
    <s v="PO-00510"/>
    <x v="1"/>
    <d v="2022-11-18T00:00:00"/>
    <d v="2022-11-19T00:00:00"/>
    <s v="Electronics"/>
    <s v="Delivered"/>
    <n v="1755"/>
    <n v="82.66"/>
    <n v="73.67"/>
    <n v="258"/>
    <s v="No"/>
    <d v="2022-11-19T00:00:00"/>
    <s v="Net 30"/>
    <n v="30"/>
    <d v="2022-12-19T00:00:00"/>
    <d v="2023-01-07T00:00:00"/>
    <n v="49"/>
    <x v="0"/>
    <x v="0"/>
    <n v="19"/>
    <s v="Inefficient"/>
  </r>
  <r>
    <s v="PO-00511"/>
    <x v="2"/>
    <d v="2023-03-23T00:00:00"/>
    <d v="2023-03-31T00:00:00"/>
    <s v="Raw Materials"/>
    <s v="Delivered"/>
    <n v="808"/>
    <n v="24.19"/>
    <n v="21.64"/>
    <n v="39"/>
    <s v="Yes"/>
    <d v="2023-03-31T00:00:00"/>
    <s v="Net 45"/>
    <n v="45"/>
    <d v="2023-05-15T00:00:00"/>
    <d v="2023-06-01T00:00:00"/>
    <n v="62"/>
    <x v="0"/>
    <x v="2"/>
    <n v="17"/>
    <s v="Inefficient"/>
  </r>
  <r>
    <s v="PO-00512"/>
    <x v="0"/>
    <d v="2023-09-13T00:00:00"/>
    <d v="2023-09-19T00:00:00"/>
    <s v="Raw Materials"/>
    <s v="Partially Delivered"/>
    <n v="587"/>
    <n v="96.98"/>
    <n v="95.35"/>
    <n v="14"/>
    <s v="Yes"/>
    <d v="2023-09-19T00:00:00"/>
    <s v="Net 45"/>
    <n v="45"/>
    <d v="2023-11-03T00:00:00"/>
    <d v="2023-11-01T00:00:00"/>
    <n v="43"/>
    <x v="1"/>
    <x v="0"/>
    <n v="0"/>
    <s v="Efficient"/>
  </r>
  <r>
    <s v="PO-00513"/>
    <x v="4"/>
    <d v="2023-06-08T00:00:00"/>
    <d v="2023-06-11T00:00:00"/>
    <s v="MRO"/>
    <s v="Delivered"/>
    <n v="1940"/>
    <n v="58.45"/>
    <n v="50.29"/>
    <n v="54"/>
    <s v="Yes"/>
    <d v="2023-06-11T00:00:00"/>
    <s v="Net 30"/>
    <n v="30"/>
    <d v="2023-07-11T00:00:00"/>
    <d v="2023-07-25T00:00:00"/>
    <n v="44"/>
    <x v="0"/>
    <x v="0"/>
    <n v="14"/>
    <s v="Inefficient"/>
  </r>
  <r>
    <s v="PO-00514"/>
    <x v="3"/>
    <d v="2022-04-29T00:00:00"/>
    <d v="2022-05-11T00:00:00"/>
    <s v="Office Supplies"/>
    <s v="Cancelled"/>
    <n v="1891"/>
    <n v="91.87"/>
    <n v="80.28"/>
    <n v="158"/>
    <s v="Yes"/>
    <d v="2022-05-11T00:00:00"/>
    <s v="Net 15"/>
    <n v="15"/>
    <d v="2022-05-26T00:00:00"/>
    <d v="2022-06-13T00:00:00"/>
    <n v="33"/>
    <x v="0"/>
    <x v="0"/>
    <n v="18"/>
    <s v="Inefficient"/>
  </r>
  <r>
    <s v="PO-00515"/>
    <x v="4"/>
    <d v="2023-01-30T00:00:00"/>
    <d v="2023-02-16T00:00:00"/>
    <s v="Packaging"/>
    <s v="Delivered"/>
    <n v="970"/>
    <n v="86.91"/>
    <n v="78.44"/>
    <n v="18"/>
    <s v="Yes"/>
    <d v="2023-02-16T00:00:00"/>
    <s v="Net 30"/>
    <n v="30"/>
    <d v="2023-03-18T00:00:00"/>
    <d v="2023-03-30T00:00:00"/>
    <n v="42"/>
    <x v="0"/>
    <x v="0"/>
    <n v="12"/>
    <s v="Inefficient"/>
  </r>
  <r>
    <s v="PO-00516"/>
    <x v="4"/>
    <d v="2023-08-14T00:00:00"/>
    <d v="2023-08-31T00:00:00"/>
    <s v="MRO"/>
    <s v="Delivered"/>
    <n v="457"/>
    <n v="52.85"/>
    <n v="50.34"/>
    <n v="16"/>
    <s v="Yes"/>
    <d v="2023-08-31T00:00:00"/>
    <s v="Net 15"/>
    <n v="15"/>
    <d v="2023-09-15T00:00:00"/>
    <d v="2023-09-14T00:00:00"/>
    <n v="14"/>
    <x v="1"/>
    <x v="1"/>
    <n v="0"/>
    <s v="Efficient"/>
  </r>
  <r>
    <s v="PO-00517"/>
    <x v="3"/>
    <d v="2022-07-14T00:00:00"/>
    <d v="2022-07-27T00:00:00"/>
    <s v="Office Supplies"/>
    <s v="Cancelled"/>
    <n v="574"/>
    <n v="12.38"/>
    <n v="11.47"/>
    <m/>
    <s v="No"/>
    <d v="2022-07-27T00:00:00"/>
    <s v="Net 45"/>
    <n v="45"/>
    <d v="2022-09-10T00:00:00"/>
    <d v="2022-09-21T00:00:00"/>
    <n v="56"/>
    <x v="0"/>
    <x v="0"/>
    <n v="11"/>
    <s v="Inefficient"/>
  </r>
  <r>
    <s v="PO-00518"/>
    <x v="4"/>
    <d v="2022-09-18T00:00:00"/>
    <d v="2022-09-20T00:00:00"/>
    <s v="Office Supplies"/>
    <s v="Delivered"/>
    <n v="877"/>
    <n v="35.549999999999997"/>
    <n v="34.69"/>
    <n v="24"/>
    <s v="Yes"/>
    <d v="2022-09-20T00:00:00"/>
    <s v="Net 15"/>
    <n v="15"/>
    <d v="2022-10-05T00:00:00"/>
    <d v="2022-10-15T00:00:00"/>
    <n v="25"/>
    <x v="0"/>
    <x v="1"/>
    <n v="10"/>
    <s v="Inefficient"/>
  </r>
  <r>
    <s v="PO-00519"/>
    <x v="0"/>
    <d v="2022-02-15T00:00:00"/>
    <d v="2022-02-27T00:00:00"/>
    <s v="MRO"/>
    <s v="Delivered"/>
    <n v="1579"/>
    <n v="59.04"/>
    <n v="50.95"/>
    <n v="29"/>
    <s v="Yes"/>
    <d v="2022-02-27T00:00:00"/>
    <s v="Net 45"/>
    <n v="45"/>
    <d v="2022-04-13T00:00:00"/>
    <d v="2022-04-22T00:00:00"/>
    <n v="54"/>
    <x v="0"/>
    <x v="0"/>
    <n v="9"/>
    <s v="Inefficient"/>
  </r>
  <r>
    <s v="PO-00520"/>
    <x v="1"/>
    <d v="2023-12-27T00:00:00"/>
    <d v="2023-12-28T00:00:00"/>
    <s v="Raw Materials"/>
    <s v="Delivered"/>
    <n v="952"/>
    <n v="74.72"/>
    <n v="69.73"/>
    <m/>
    <s v="Yes"/>
    <d v="2023-12-28T00:00:00"/>
    <s v="Net 45"/>
    <n v="45"/>
    <d v="2024-02-11T00:00:00"/>
    <d v="2024-03-02T00:00:00"/>
    <n v="65"/>
    <x v="0"/>
    <x v="2"/>
    <n v="20"/>
    <s v="Inefficient"/>
  </r>
  <r>
    <s v="PO-00521"/>
    <x v="3"/>
    <d v="2023-03-23T00:00:00"/>
    <d v="2023-03-26T00:00:00"/>
    <s v="Raw Materials"/>
    <s v="Pending"/>
    <n v="1898"/>
    <n v="35.53"/>
    <n v="33.25"/>
    <n v="187"/>
    <s v="Yes"/>
    <d v="2023-03-26T00:00:00"/>
    <s v="Net 30"/>
    <n v="30"/>
    <d v="2023-04-25T00:00:00"/>
    <d v="2023-05-03T00:00:00"/>
    <n v="38"/>
    <x v="0"/>
    <x v="0"/>
    <n v="8"/>
    <s v="Inefficient"/>
  </r>
  <r>
    <s v="PO-00522"/>
    <x v="1"/>
    <d v="2022-01-02T00:00:00"/>
    <d v="2022-01-06T00:00:00"/>
    <s v="Packaging"/>
    <s v="Delivered"/>
    <n v="85"/>
    <n v="22.54"/>
    <n v="20.68"/>
    <n v="6"/>
    <s v="Yes"/>
    <d v="2022-01-06T00:00:00"/>
    <s v="Net 45"/>
    <n v="45"/>
    <d v="2022-02-20T00:00:00"/>
    <d v="2022-03-06T00:00:00"/>
    <n v="59"/>
    <x v="0"/>
    <x v="0"/>
    <n v="14"/>
    <s v="Inefficient"/>
  </r>
  <r>
    <s v="PO-00523"/>
    <x v="2"/>
    <d v="2023-06-17T00:00:00"/>
    <d v="2023-06-28T00:00:00"/>
    <s v="Packaging"/>
    <s v="Pending"/>
    <n v="734"/>
    <n v="92.38"/>
    <n v="78.92"/>
    <n v="34"/>
    <s v="No"/>
    <d v="2023-06-28T00:00:00"/>
    <s v="Net 30"/>
    <n v="30"/>
    <d v="2023-07-28T00:00:00"/>
    <d v="2023-07-31T00:00:00"/>
    <n v="33"/>
    <x v="0"/>
    <x v="0"/>
    <n v="3"/>
    <s v="Inefficient"/>
  </r>
  <r>
    <s v="PO-00524"/>
    <x v="0"/>
    <d v="2023-07-06T00:00:00"/>
    <d v="2023-07-18T00:00:00"/>
    <s v="Office Supplies"/>
    <s v="Delivered"/>
    <n v="69"/>
    <n v="107.47"/>
    <n v="105.53"/>
    <m/>
    <s v="Yes"/>
    <d v="2023-07-18T00:00:00"/>
    <s v="Net 30"/>
    <n v="30"/>
    <d v="2023-08-17T00:00:00"/>
    <d v="2023-08-29T00:00:00"/>
    <n v="42"/>
    <x v="0"/>
    <x v="0"/>
    <n v="12"/>
    <s v="Inefficient"/>
  </r>
  <r>
    <s v="PO-00525"/>
    <x v="1"/>
    <d v="2023-12-05T00:00:00"/>
    <d v="2023-12-11T00:00:00"/>
    <s v="Packaging"/>
    <s v="Delivered"/>
    <n v="370"/>
    <n v="63.9"/>
    <n v="55.79"/>
    <n v="59"/>
    <s v="Yes"/>
    <d v="2023-12-11T00:00:00"/>
    <s v="Net 45"/>
    <n v="45"/>
    <d v="2024-01-25T00:00:00"/>
    <d v="2024-01-20T00:00:00"/>
    <n v="40"/>
    <x v="1"/>
    <x v="0"/>
    <n v="0"/>
    <s v="Efficient"/>
  </r>
  <r>
    <s v="PO-00526"/>
    <x v="1"/>
    <d v="2023-11-18T00:00:00"/>
    <d v="2023-12-03T00:00:00"/>
    <s v="MRO"/>
    <s v="Delivered"/>
    <n v="1849"/>
    <n v="28.25"/>
    <n v="27.53"/>
    <n v="271"/>
    <s v="Yes"/>
    <d v="2023-12-03T00:00:00"/>
    <s v="Net 45"/>
    <n v="45"/>
    <d v="2024-01-17T00:00:00"/>
    <d v="2024-02-03T00:00:00"/>
    <n v="62"/>
    <x v="0"/>
    <x v="2"/>
    <n v="17"/>
    <s v="Inefficient"/>
  </r>
  <r>
    <s v="PO-00527"/>
    <x v="3"/>
    <d v="2022-07-21T00:00:00"/>
    <m/>
    <s v="Packaging"/>
    <s v="Delivered"/>
    <n v="561"/>
    <n v="35.54"/>
    <n v="30.99"/>
    <n v="68"/>
    <s v="No"/>
    <d v="1899-12-30T00:00:00"/>
    <s v="Net 15"/>
    <n v="15"/>
    <d v="1900-01-14T00:00:00"/>
    <d v="1900-01-29T00:00:00"/>
    <n v="30"/>
    <x v="0"/>
    <x v="1"/>
    <n v="15"/>
    <s v="Inefficient"/>
  </r>
  <r>
    <s v="PO-00528"/>
    <x v="2"/>
    <d v="2023-01-08T00:00:00"/>
    <d v="2023-01-14T00:00:00"/>
    <s v="Electronics"/>
    <s v="Delivered"/>
    <n v="449"/>
    <n v="12.35"/>
    <n v="10.67"/>
    <n v="29"/>
    <s v="Yes"/>
    <d v="2023-01-14T00:00:00"/>
    <s v="Net 45"/>
    <n v="45"/>
    <d v="2023-02-28T00:00:00"/>
    <d v="2023-03-09T00:00:00"/>
    <n v="54"/>
    <x v="0"/>
    <x v="0"/>
    <n v="9"/>
    <s v="Inefficient"/>
  </r>
  <r>
    <s v="PO-00529"/>
    <x v="3"/>
    <d v="2023-03-18T00:00:00"/>
    <d v="2023-03-21T00:00:00"/>
    <s v="Office Supplies"/>
    <s v="Delivered"/>
    <n v="703"/>
    <n v="98.75"/>
    <n v="86.78"/>
    <n v="59"/>
    <s v="Yes"/>
    <d v="2023-03-21T00:00:00"/>
    <s v="Net 15"/>
    <n v="15"/>
    <d v="2023-04-05T00:00:00"/>
    <d v="2023-04-17T00:00:00"/>
    <n v="27"/>
    <x v="0"/>
    <x v="1"/>
    <n v="12"/>
    <s v="Inefficient"/>
  </r>
  <r>
    <s v="PO-00530"/>
    <x v="2"/>
    <d v="2022-03-13T00:00:00"/>
    <d v="2022-03-28T00:00:00"/>
    <s v="Electronics"/>
    <s v="Delivered"/>
    <n v="1021"/>
    <n v="20.8"/>
    <n v="18.23"/>
    <n v="37"/>
    <s v="Yes"/>
    <d v="2022-03-28T00:00:00"/>
    <s v="Net 30"/>
    <n v="30"/>
    <d v="2022-04-27T00:00:00"/>
    <d v="2022-05-02T00:00:00"/>
    <n v="35"/>
    <x v="0"/>
    <x v="0"/>
    <n v="5"/>
    <s v="Inefficient"/>
  </r>
  <r>
    <s v="PO-00531"/>
    <x v="3"/>
    <d v="2023-11-12T00:00:00"/>
    <d v="2023-11-19T00:00:00"/>
    <s v="Office Supplies"/>
    <s v="Delivered"/>
    <n v="1956"/>
    <n v="68.69"/>
    <n v="65.09"/>
    <m/>
    <s v="Yes"/>
    <d v="2023-11-19T00:00:00"/>
    <s v="Net 30"/>
    <n v="30"/>
    <d v="2023-12-19T00:00:00"/>
    <d v="2024-01-04T00:00:00"/>
    <n v="46"/>
    <x v="0"/>
    <x v="0"/>
    <n v="16"/>
    <s v="Inefficient"/>
  </r>
  <r>
    <s v="PO-00532"/>
    <x v="1"/>
    <d v="2022-12-05T00:00:00"/>
    <d v="2022-12-12T00:00:00"/>
    <s v="Office Supplies"/>
    <s v="Partially Delivered"/>
    <n v="520"/>
    <n v="36.57"/>
    <n v="34.78"/>
    <n v="67"/>
    <s v="No"/>
    <d v="2022-12-12T00:00:00"/>
    <s v="Net 45"/>
    <n v="45"/>
    <d v="2023-01-26T00:00:00"/>
    <d v="2023-02-03T00:00:00"/>
    <n v="53"/>
    <x v="0"/>
    <x v="0"/>
    <n v="8"/>
    <s v="Inefficient"/>
  </r>
  <r>
    <s v="PO-00533"/>
    <x v="1"/>
    <d v="2023-10-01T00:00:00"/>
    <d v="2023-10-12T00:00:00"/>
    <s v="MRO"/>
    <s v="Delivered"/>
    <n v="1216"/>
    <n v="66.16"/>
    <n v="63"/>
    <n v="179"/>
    <s v="No"/>
    <d v="2023-10-12T00:00:00"/>
    <s v="Net 45"/>
    <n v="45"/>
    <d v="2023-11-26T00:00:00"/>
    <d v="2023-12-10T00:00:00"/>
    <n v="59"/>
    <x v="0"/>
    <x v="0"/>
    <n v="14"/>
    <s v="Inefficient"/>
  </r>
  <r>
    <s v="PO-00534"/>
    <x v="0"/>
    <d v="2022-11-18T00:00:00"/>
    <m/>
    <s v="Raw Materials"/>
    <s v="Delivered"/>
    <n v="1165"/>
    <n v="72.06"/>
    <n v="63.93"/>
    <m/>
    <s v="Yes"/>
    <d v="1899-12-30T00:00:00"/>
    <s v="Net 45"/>
    <n v="45"/>
    <d v="1900-02-13T00:00:00"/>
    <d v="1900-02-14T00:00:00"/>
    <n v="46"/>
    <x v="0"/>
    <x v="0"/>
    <n v="1"/>
    <s v="Inefficient"/>
  </r>
  <r>
    <s v="PO-00535"/>
    <x v="1"/>
    <d v="2023-11-11T00:00:00"/>
    <d v="2023-11-29T00:00:00"/>
    <s v="Packaging"/>
    <s v="Pending"/>
    <n v="1427"/>
    <n v="93.99"/>
    <n v="83.6"/>
    <n v="213"/>
    <s v="Yes"/>
    <d v="2023-11-29T00:00:00"/>
    <s v="Net 45"/>
    <n v="45"/>
    <d v="2024-01-13T00:00:00"/>
    <d v="2024-01-10T00:00:00"/>
    <n v="42"/>
    <x v="1"/>
    <x v="0"/>
    <n v="0"/>
    <s v="Efficient"/>
  </r>
  <r>
    <s v="PO-00536"/>
    <x v="4"/>
    <d v="2022-05-08T00:00:00"/>
    <d v="2022-05-10T00:00:00"/>
    <s v="Electronics"/>
    <s v="Delivered"/>
    <n v="883"/>
    <n v="29.15"/>
    <n v="25.75"/>
    <n v="14"/>
    <s v="Yes"/>
    <d v="2022-05-10T00:00:00"/>
    <s v="Net 45"/>
    <n v="45"/>
    <d v="2022-06-24T00:00:00"/>
    <d v="2022-06-23T00:00:00"/>
    <n v="44"/>
    <x v="1"/>
    <x v="0"/>
    <n v="0"/>
    <s v="Efficient"/>
  </r>
  <r>
    <s v="PO-00537"/>
    <x v="1"/>
    <d v="2022-11-04T00:00:00"/>
    <d v="2022-11-11T00:00:00"/>
    <s v="Packaging"/>
    <s v="Partially Delivered"/>
    <n v="1873"/>
    <n v="11.54"/>
    <n v="9.89"/>
    <n v="284"/>
    <s v="No"/>
    <d v="2022-11-11T00:00:00"/>
    <s v="Net 30"/>
    <n v="30"/>
    <d v="2022-12-11T00:00:00"/>
    <d v="2022-12-17T00:00:00"/>
    <n v="36"/>
    <x v="0"/>
    <x v="0"/>
    <n v="6"/>
    <s v="Inefficient"/>
  </r>
  <r>
    <s v="PO-00538"/>
    <x v="4"/>
    <d v="2023-06-04T00:00:00"/>
    <d v="2023-06-06T00:00:00"/>
    <s v="Office Supplies"/>
    <s v="Delivered"/>
    <n v="776"/>
    <n v="24.22"/>
    <n v="22.53"/>
    <n v="27"/>
    <s v="Yes"/>
    <d v="2023-06-06T00:00:00"/>
    <s v="Net 45"/>
    <n v="45"/>
    <d v="2023-07-21T00:00:00"/>
    <d v="2023-07-30T00:00:00"/>
    <n v="54"/>
    <x v="0"/>
    <x v="0"/>
    <n v="9"/>
    <s v="Inefficient"/>
  </r>
  <r>
    <s v="PO-00539"/>
    <x v="1"/>
    <d v="2022-11-13T00:00:00"/>
    <d v="2022-11-24T00:00:00"/>
    <s v="Electronics"/>
    <s v="Delivered"/>
    <n v="903"/>
    <n v="95.55"/>
    <n v="92.45"/>
    <n v="149"/>
    <s v="No"/>
    <d v="2022-11-24T00:00:00"/>
    <s v="Net 15"/>
    <n v="15"/>
    <d v="2022-12-09T00:00:00"/>
    <d v="2022-12-11T00:00:00"/>
    <n v="17"/>
    <x v="0"/>
    <x v="1"/>
    <n v="2"/>
    <s v="Inefficient"/>
  </r>
  <r>
    <s v="PO-00540"/>
    <x v="4"/>
    <d v="2023-11-14T00:00:00"/>
    <d v="2023-11-26T00:00:00"/>
    <s v="Electronics"/>
    <s v="Delivered"/>
    <n v="100"/>
    <n v="98.4"/>
    <n v="85.76"/>
    <n v="3"/>
    <s v="Yes"/>
    <d v="2023-11-26T00:00:00"/>
    <s v="Net 15"/>
    <n v="15"/>
    <d v="2023-12-11T00:00:00"/>
    <d v="2023-12-11T00:00:00"/>
    <n v="15"/>
    <x v="1"/>
    <x v="1"/>
    <n v="0"/>
    <s v="Efficient"/>
  </r>
  <r>
    <s v="PO-00541"/>
    <x v="4"/>
    <d v="2023-02-23T00:00:00"/>
    <d v="2023-03-08T00:00:00"/>
    <s v="Office Supplies"/>
    <s v="Delivered"/>
    <n v="1738"/>
    <n v="67.91"/>
    <n v="61.15"/>
    <m/>
    <s v="Yes"/>
    <d v="2023-03-08T00:00:00"/>
    <s v="Net 30"/>
    <n v="30"/>
    <d v="2023-04-07T00:00:00"/>
    <d v="2023-04-25T00:00:00"/>
    <n v="48"/>
    <x v="0"/>
    <x v="0"/>
    <n v="18"/>
    <s v="Inefficient"/>
  </r>
  <r>
    <s v="PO-00542"/>
    <x v="1"/>
    <d v="2022-12-01T00:00:00"/>
    <d v="2022-12-14T00:00:00"/>
    <s v="Packaging"/>
    <s v="Delivered"/>
    <n v="1771"/>
    <n v="67.569999999999993"/>
    <n v="61.48"/>
    <n v="280"/>
    <s v="No"/>
    <d v="2022-12-14T00:00:00"/>
    <s v="Net 15"/>
    <n v="15"/>
    <d v="2022-12-29T00:00:00"/>
    <d v="2023-01-04T00:00:00"/>
    <n v="21"/>
    <x v="0"/>
    <x v="1"/>
    <n v="6"/>
    <s v="Inefficient"/>
  </r>
  <r>
    <s v="PO-00543"/>
    <x v="4"/>
    <d v="2023-02-17T00:00:00"/>
    <d v="2023-02-23T00:00:00"/>
    <s v="Electronics"/>
    <s v="Delivered"/>
    <n v="624"/>
    <n v="74.39"/>
    <n v="66.3"/>
    <n v="18"/>
    <s v="No"/>
    <d v="2023-02-23T00:00:00"/>
    <s v="Net 15"/>
    <n v="15"/>
    <d v="2023-03-10T00:00:00"/>
    <d v="2023-03-13T00:00:00"/>
    <n v="18"/>
    <x v="0"/>
    <x v="1"/>
    <n v="3"/>
    <s v="Inefficient"/>
  </r>
  <r>
    <s v="PO-00544"/>
    <x v="0"/>
    <d v="2023-12-15T00:00:00"/>
    <d v="2023-12-31T00:00:00"/>
    <s v="Packaging"/>
    <s v="Partially Delivered"/>
    <n v="1263"/>
    <n v="28.75"/>
    <n v="27.1"/>
    <n v="26"/>
    <s v="Yes"/>
    <d v="2023-12-31T00:00:00"/>
    <s v="Net 15"/>
    <n v="15"/>
    <d v="2024-01-15T00:00:00"/>
    <d v="2024-01-22T00:00:00"/>
    <n v="22"/>
    <x v="0"/>
    <x v="1"/>
    <n v="7"/>
    <s v="Inefficient"/>
  </r>
  <r>
    <s v="PO-00545"/>
    <x v="2"/>
    <d v="2022-10-30T00:00:00"/>
    <d v="2022-11-16T00:00:00"/>
    <s v="Electronics"/>
    <s v="Cancelled"/>
    <n v="1198"/>
    <n v="96.45"/>
    <n v="90.09"/>
    <m/>
    <s v="Yes"/>
    <d v="2022-11-16T00:00:00"/>
    <s v="Net 45"/>
    <n v="45"/>
    <d v="2022-12-31T00:00:00"/>
    <d v="2023-01-13T00:00:00"/>
    <n v="58"/>
    <x v="0"/>
    <x v="0"/>
    <n v="13"/>
    <s v="Inefficient"/>
  </r>
  <r>
    <s v="PO-00546"/>
    <x v="4"/>
    <d v="2023-07-22T00:00:00"/>
    <d v="2023-07-25T00:00:00"/>
    <s v="Raw Materials"/>
    <s v="Delivered"/>
    <n v="199"/>
    <n v="51.98"/>
    <n v="45.64"/>
    <m/>
    <s v="No"/>
    <d v="2023-07-25T00:00:00"/>
    <s v="Net 30"/>
    <n v="30"/>
    <d v="2023-08-24T00:00:00"/>
    <d v="2023-09-13T00:00:00"/>
    <n v="50"/>
    <x v="0"/>
    <x v="0"/>
    <n v="20"/>
    <s v="Inefficient"/>
  </r>
  <r>
    <s v="PO-00547"/>
    <x v="4"/>
    <d v="2022-05-11T00:00:00"/>
    <d v="2022-05-14T00:00:00"/>
    <s v="MRO"/>
    <s v="Pending"/>
    <n v="363"/>
    <n v="45.37"/>
    <n v="38.729999999999997"/>
    <m/>
    <s v="Yes"/>
    <d v="2022-05-14T00:00:00"/>
    <s v="Net 15"/>
    <n v="15"/>
    <d v="2022-05-29T00:00:00"/>
    <d v="2022-05-30T00:00:00"/>
    <n v="16"/>
    <x v="0"/>
    <x v="1"/>
    <n v="1"/>
    <s v="Inefficient"/>
  </r>
  <r>
    <s v="PO-00548"/>
    <x v="0"/>
    <d v="2022-07-16T00:00:00"/>
    <d v="2022-07-22T00:00:00"/>
    <s v="Office Supplies"/>
    <s v="Delivered"/>
    <n v="619"/>
    <n v="58.4"/>
    <n v="51.04"/>
    <m/>
    <s v="Yes"/>
    <d v="2022-07-22T00:00:00"/>
    <s v="Net 30"/>
    <n v="30"/>
    <d v="2022-08-21T00:00:00"/>
    <d v="2022-08-20T00:00:00"/>
    <n v="29"/>
    <x v="1"/>
    <x v="1"/>
    <n v="0"/>
    <s v="Efficient"/>
  </r>
  <r>
    <s v="PO-00549"/>
    <x v="0"/>
    <d v="2023-03-07T00:00:00"/>
    <d v="2023-03-18T00:00:00"/>
    <s v="MRO"/>
    <s v="Delivered"/>
    <n v="1415"/>
    <n v="15.22"/>
    <n v="13.56"/>
    <n v="30"/>
    <s v="Yes"/>
    <d v="2023-03-18T00:00:00"/>
    <s v="Net 45"/>
    <n v="45"/>
    <d v="2023-05-02T00:00:00"/>
    <d v="2023-05-01T00:00:00"/>
    <n v="44"/>
    <x v="1"/>
    <x v="0"/>
    <n v="0"/>
    <s v="Efficient"/>
  </r>
  <r>
    <s v="PO-00550"/>
    <x v="3"/>
    <d v="2023-11-12T00:00:00"/>
    <d v="2023-11-23T00:00:00"/>
    <s v="Packaging"/>
    <s v="Delivered"/>
    <n v="354"/>
    <n v="27.71"/>
    <n v="23.87"/>
    <n v="39"/>
    <s v="No"/>
    <d v="2023-11-23T00:00:00"/>
    <s v="Net 15"/>
    <n v="15"/>
    <d v="2023-12-08T00:00:00"/>
    <d v="2023-12-22T00:00:00"/>
    <n v="29"/>
    <x v="0"/>
    <x v="1"/>
    <n v="14"/>
    <s v="Inefficient"/>
  </r>
  <r>
    <s v="PO-00551"/>
    <x v="2"/>
    <d v="2023-01-24T00:00:00"/>
    <d v="2023-02-03T00:00:00"/>
    <s v="MRO"/>
    <s v="Delivered"/>
    <n v="1765"/>
    <n v="81.010000000000005"/>
    <n v="78.430000000000007"/>
    <n v="78"/>
    <s v="Yes"/>
    <d v="2023-02-03T00:00:00"/>
    <s v="Net 30"/>
    <n v="30"/>
    <d v="2023-03-05T00:00:00"/>
    <d v="2023-03-12T00:00:00"/>
    <n v="37"/>
    <x v="0"/>
    <x v="0"/>
    <n v="7"/>
    <s v="Inefficient"/>
  </r>
  <r>
    <s v="PO-00552"/>
    <x v="3"/>
    <d v="2023-11-25T00:00:00"/>
    <d v="2023-12-09T00:00:00"/>
    <s v="MRO"/>
    <s v="Delivered"/>
    <n v="731"/>
    <n v="19.37"/>
    <n v="17.3"/>
    <n v="69"/>
    <s v="No"/>
    <d v="2023-12-09T00:00:00"/>
    <s v="Net 45"/>
    <n v="45"/>
    <d v="2024-01-23T00:00:00"/>
    <d v="2024-01-30T00:00:00"/>
    <n v="52"/>
    <x v="0"/>
    <x v="0"/>
    <n v="7"/>
    <s v="Inefficient"/>
  </r>
  <r>
    <s v="PO-00553"/>
    <x v="4"/>
    <d v="2022-06-28T00:00:00"/>
    <d v="2022-07-13T00:00:00"/>
    <s v="MRO"/>
    <s v="Delivered"/>
    <n v="887"/>
    <n v="65.89"/>
    <n v="59.67"/>
    <n v="29"/>
    <s v="Yes"/>
    <d v="2022-07-13T00:00:00"/>
    <s v="Net 15"/>
    <n v="15"/>
    <d v="2022-07-28T00:00:00"/>
    <d v="2022-07-26T00:00:00"/>
    <n v="13"/>
    <x v="1"/>
    <x v="1"/>
    <n v="0"/>
    <s v="Efficient"/>
  </r>
  <r>
    <s v="PO-00554"/>
    <x v="0"/>
    <d v="2023-09-23T00:00:00"/>
    <d v="2023-09-25T00:00:00"/>
    <s v="MRO"/>
    <s v="Delivered"/>
    <n v="1856"/>
    <n v="35.29"/>
    <n v="32.409999999999997"/>
    <n v="26"/>
    <s v="Yes"/>
    <d v="2023-09-25T00:00:00"/>
    <s v="Net 15"/>
    <n v="15"/>
    <d v="2023-10-10T00:00:00"/>
    <d v="2023-10-30T00:00:00"/>
    <n v="35"/>
    <x v="0"/>
    <x v="0"/>
    <n v="20"/>
    <s v="Inefficient"/>
  </r>
  <r>
    <s v="PO-00555"/>
    <x v="4"/>
    <d v="2023-08-06T00:00:00"/>
    <d v="2023-08-18T00:00:00"/>
    <s v="Office Supplies"/>
    <s v="Delivered"/>
    <n v="1127"/>
    <n v="49.32"/>
    <n v="46.49"/>
    <n v="30"/>
    <s v="Yes"/>
    <d v="2023-08-18T00:00:00"/>
    <s v="Net 45"/>
    <n v="45"/>
    <d v="2023-10-02T00:00:00"/>
    <d v="2023-10-15T00:00:00"/>
    <n v="58"/>
    <x v="0"/>
    <x v="0"/>
    <n v="13"/>
    <s v="Inefficient"/>
  </r>
  <r>
    <s v="PO-00556"/>
    <x v="1"/>
    <d v="2022-11-05T00:00:00"/>
    <d v="2022-11-19T00:00:00"/>
    <s v="Raw Materials"/>
    <s v="Delivered"/>
    <n v="1052"/>
    <n v="37.78"/>
    <n v="32.6"/>
    <n v="162"/>
    <s v="Yes"/>
    <d v="2022-11-19T00:00:00"/>
    <s v="Net 30"/>
    <n v="30"/>
    <d v="2022-12-19T00:00:00"/>
    <d v="2022-12-30T00:00:00"/>
    <n v="41"/>
    <x v="0"/>
    <x v="0"/>
    <n v="11"/>
    <s v="Inefficient"/>
  </r>
  <r>
    <s v="PO-00557"/>
    <x v="2"/>
    <d v="2023-02-20T00:00:00"/>
    <d v="2023-02-22T00:00:00"/>
    <s v="Raw Materials"/>
    <s v="Delivered"/>
    <n v="493"/>
    <n v="44.74"/>
    <n v="41.44"/>
    <n v="24"/>
    <s v="No"/>
    <d v="2023-02-22T00:00:00"/>
    <s v="Net 15"/>
    <n v="15"/>
    <d v="2023-03-09T00:00:00"/>
    <d v="2023-03-16T00:00:00"/>
    <n v="22"/>
    <x v="0"/>
    <x v="1"/>
    <n v="7"/>
    <s v="Inefficient"/>
  </r>
  <r>
    <s v="PO-00558"/>
    <x v="1"/>
    <d v="2023-07-16T00:00:00"/>
    <d v="2023-07-29T00:00:00"/>
    <s v="MRO"/>
    <s v="Partially Delivered"/>
    <n v="662"/>
    <n v="81.44"/>
    <n v="71.33"/>
    <n v="87"/>
    <s v="Yes"/>
    <d v="2023-07-29T00:00:00"/>
    <s v="Net 15"/>
    <n v="15"/>
    <d v="2023-08-13T00:00:00"/>
    <d v="2023-08-24T00:00:00"/>
    <n v="26"/>
    <x v="0"/>
    <x v="1"/>
    <n v="11"/>
    <s v="Inefficient"/>
  </r>
  <r>
    <s v="PO-00559"/>
    <x v="0"/>
    <d v="2022-01-01T00:00:00"/>
    <d v="2022-01-07T00:00:00"/>
    <s v="Raw Materials"/>
    <s v="Delivered"/>
    <n v="1042"/>
    <n v="36.74"/>
    <n v="35.78"/>
    <n v="33"/>
    <s v="Yes"/>
    <d v="2022-01-07T00:00:00"/>
    <s v="Net 45"/>
    <n v="45"/>
    <d v="2022-02-21T00:00:00"/>
    <d v="2022-03-04T00:00:00"/>
    <n v="56"/>
    <x v="0"/>
    <x v="0"/>
    <n v="11"/>
    <s v="Inefficient"/>
  </r>
  <r>
    <s v="PO-00560"/>
    <x v="0"/>
    <d v="2022-11-08T00:00:00"/>
    <m/>
    <s v="Raw Materials"/>
    <s v="Delivered"/>
    <n v="313"/>
    <n v="64.03"/>
    <n v="57.74"/>
    <n v="1"/>
    <s v="Yes"/>
    <d v="1899-12-30T00:00:00"/>
    <s v="Net 45"/>
    <n v="45"/>
    <d v="1900-02-13T00:00:00"/>
    <d v="1900-02-22T00:00:00"/>
    <n v="54"/>
    <x v="0"/>
    <x v="0"/>
    <n v="9"/>
    <s v="Inefficient"/>
  </r>
  <r>
    <s v="PO-00561"/>
    <x v="0"/>
    <d v="2022-10-21T00:00:00"/>
    <d v="2022-11-10T00:00:00"/>
    <s v="Office Supplies"/>
    <s v="Delivered"/>
    <n v="1126"/>
    <n v="55.22"/>
    <n v="50.38"/>
    <m/>
    <s v="Yes"/>
    <d v="2022-11-10T00:00:00"/>
    <s v="Net 45"/>
    <n v="45"/>
    <d v="2022-12-25T00:00:00"/>
    <d v="2023-01-06T00:00:00"/>
    <n v="57"/>
    <x v="0"/>
    <x v="0"/>
    <n v="12"/>
    <s v="Inefficient"/>
  </r>
  <r>
    <s v="PO-00562"/>
    <x v="2"/>
    <d v="2022-08-04T00:00:00"/>
    <d v="2022-08-19T00:00:00"/>
    <s v="MRO"/>
    <s v="Delivered"/>
    <n v="1645"/>
    <n v="72.17"/>
    <n v="64"/>
    <n v="79"/>
    <s v="Yes"/>
    <d v="2022-08-19T00:00:00"/>
    <s v="Net 15"/>
    <n v="15"/>
    <d v="2022-09-03T00:00:00"/>
    <d v="2022-09-21T00:00:00"/>
    <n v="33"/>
    <x v="0"/>
    <x v="0"/>
    <n v="18"/>
    <s v="Inefficient"/>
  </r>
  <r>
    <s v="PO-00563"/>
    <x v="3"/>
    <d v="2023-03-17T00:00:00"/>
    <d v="2023-03-20T00:00:00"/>
    <s v="Packaging"/>
    <s v="Delivered"/>
    <n v="1053"/>
    <n v="100.92"/>
    <n v="92.35"/>
    <n v="104"/>
    <s v="Yes"/>
    <d v="2023-03-20T00:00:00"/>
    <s v="Net 45"/>
    <n v="45"/>
    <d v="2023-05-04T00:00:00"/>
    <d v="2023-05-01T00:00:00"/>
    <n v="42"/>
    <x v="1"/>
    <x v="0"/>
    <n v="0"/>
    <s v="Efficient"/>
  </r>
  <r>
    <s v="PO-00564"/>
    <x v="4"/>
    <d v="2023-08-17T00:00:00"/>
    <d v="2023-08-29T00:00:00"/>
    <s v="MRO"/>
    <s v="Delivered"/>
    <n v="1693"/>
    <n v="83.14"/>
    <n v="73.3"/>
    <n v="62"/>
    <s v="Yes"/>
    <d v="2023-08-29T00:00:00"/>
    <s v="Net 15"/>
    <n v="15"/>
    <d v="2023-09-13T00:00:00"/>
    <d v="2023-09-13T00:00:00"/>
    <n v="15"/>
    <x v="1"/>
    <x v="1"/>
    <n v="0"/>
    <s v="Efficient"/>
  </r>
  <r>
    <s v="PO-00565"/>
    <x v="4"/>
    <d v="2023-09-14T00:00:00"/>
    <d v="2023-10-03T00:00:00"/>
    <s v="Raw Materials"/>
    <s v="Pending"/>
    <n v="54"/>
    <n v="32.28"/>
    <n v="28.65"/>
    <n v="3"/>
    <s v="Yes"/>
    <d v="2023-10-03T00:00:00"/>
    <s v="Net 30"/>
    <n v="30"/>
    <d v="2023-11-02T00:00:00"/>
    <d v="2023-11-21T00:00:00"/>
    <n v="49"/>
    <x v="0"/>
    <x v="0"/>
    <n v="19"/>
    <s v="Inefficient"/>
  </r>
  <r>
    <s v="PO-00566"/>
    <x v="4"/>
    <d v="2023-11-02T00:00:00"/>
    <d v="2023-11-07T00:00:00"/>
    <s v="Packaging"/>
    <s v="Delivered"/>
    <n v="1176"/>
    <n v="14.22"/>
    <n v="12.21"/>
    <n v="33"/>
    <s v="Yes"/>
    <d v="2023-11-07T00:00:00"/>
    <s v="Net 45"/>
    <n v="45"/>
    <d v="2023-12-22T00:00:00"/>
    <d v="2024-01-10T00:00:00"/>
    <n v="64"/>
    <x v="0"/>
    <x v="2"/>
    <n v="19"/>
    <s v="Inefficient"/>
  </r>
  <r>
    <s v="PO-00567"/>
    <x v="4"/>
    <d v="2022-11-26T00:00:00"/>
    <d v="2022-12-08T00:00:00"/>
    <s v="Raw Materials"/>
    <s v="Delivered"/>
    <n v="1269"/>
    <n v="35.28"/>
    <n v="33.700000000000003"/>
    <n v="35"/>
    <s v="Yes"/>
    <d v="2022-12-08T00:00:00"/>
    <s v="Net 15"/>
    <n v="15"/>
    <d v="2022-12-23T00:00:00"/>
    <d v="2023-01-11T00:00:00"/>
    <n v="34"/>
    <x v="0"/>
    <x v="0"/>
    <n v="19"/>
    <s v="Inefficient"/>
  </r>
  <r>
    <s v="PO-00568"/>
    <x v="4"/>
    <d v="2023-04-22T00:00:00"/>
    <d v="2023-04-25T00:00:00"/>
    <s v="Raw Materials"/>
    <s v="Delivered"/>
    <n v="823"/>
    <n v="68.319999999999993"/>
    <n v="64.459999999999994"/>
    <n v="19"/>
    <s v="Yes"/>
    <d v="2023-04-25T00:00:00"/>
    <s v="Net 45"/>
    <n v="45"/>
    <d v="2023-06-09T00:00:00"/>
    <d v="2023-06-25T00:00:00"/>
    <n v="61"/>
    <x v="0"/>
    <x v="2"/>
    <n v="16"/>
    <s v="Inefficient"/>
  </r>
  <r>
    <s v="PO-00569"/>
    <x v="3"/>
    <d v="2023-03-29T00:00:00"/>
    <d v="2023-04-15T00:00:00"/>
    <s v="Electronics"/>
    <s v="Delivered"/>
    <n v="926"/>
    <n v="15.65"/>
    <n v="13.49"/>
    <n v="94"/>
    <s v="No"/>
    <d v="2023-04-15T00:00:00"/>
    <s v="Net 45"/>
    <n v="45"/>
    <d v="2023-05-30T00:00:00"/>
    <d v="2023-06-18T00:00:00"/>
    <n v="64"/>
    <x v="0"/>
    <x v="2"/>
    <n v="19"/>
    <s v="Inefficient"/>
  </r>
  <r>
    <s v="PO-00570"/>
    <x v="1"/>
    <d v="2023-03-29T00:00:00"/>
    <d v="2023-04-09T00:00:00"/>
    <s v="Electronics"/>
    <s v="Cancelled"/>
    <n v="1041"/>
    <n v="58.5"/>
    <n v="52.54"/>
    <n v="170"/>
    <s v="No"/>
    <d v="2023-04-09T00:00:00"/>
    <s v="Net 30"/>
    <n v="30"/>
    <d v="2023-05-09T00:00:00"/>
    <d v="2023-05-10T00:00:00"/>
    <n v="31"/>
    <x v="0"/>
    <x v="0"/>
    <n v="1"/>
    <s v="Inefficient"/>
  </r>
  <r>
    <s v="PO-00571"/>
    <x v="2"/>
    <d v="2023-11-23T00:00:00"/>
    <d v="2023-12-01T00:00:00"/>
    <s v="Electronics"/>
    <s v="Pending"/>
    <n v="933"/>
    <n v="70.72"/>
    <n v="65.47"/>
    <n v="42"/>
    <s v="Yes"/>
    <d v="2023-12-01T00:00:00"/>
    <s v="Net 45"/>
    <n v="45"/>
    <d v="2024-01-15T00:00:00"/>
    <d v="2024-02-04T00:00:00"/>
    <n v="65"/>
    <x v="0"/>
    <x v="2"/>
    <n v="20"/>
    <s v="Inefficient"/>
  </r>
  <r>
    <s v="PO-00572"/>
    <x v="1"/>
    <d v="2022-08-07T00:00:00"/>
    <m/>
    <s v="Raw Materials"/>
    <s v="Delivered"/>
    <n v="1423"/>
    <n v="41.48"/>
    <n v="40.9"/>
    <n v="199"/>
    <s v="Yes"/>
    <d v="1899-12-30T00:00:00"/>
    <s v="Net 30"/>
    <n v="30"/>
    <d v="1900-01-29T00:00:00"/>
    <d v="1900-02-02T00:00:00"/>
    <n v="34"/>
    <x v="0"/>
    <x v="0"/>
    <n v="4"/>
    <s v="Inefficient"/>
  </r>
  <r>
    <s v="PO-00573"/>
    <x v="1"/>
    <d v="2023-06-08T00:00:00"/>
    <d v="2023-06-14T00:00:00"/>
    <s v="MRO"/>
    <s v="Delivered"/>
    <n v="96"/>
    <n v="86.13"/>
    <n v="80.319999999999993"/>
    <n v="12"/>
    <s v="No"/>
    <d v="2023-06-14T00:00:00"/>
    <s v="Net 15"/>
    <n v="15"/>
    <d v="2023-06-29T00:00:00"/>
    <d v="2023-07-06T00:00:00"/>
    <n v="22"/>
    <x v="0"/>
    <x v="1"/>
    <n v="7"/>
    <s v="Inefficient"/>
  </r>
  <r>
    <s v="PO-00574"/>
    <x v="4"/>
    <d v="2023-04-30T00:00:00"/>
    <d v="2023-05-13T00:00:00"/>
    <s v="MRO"/>
    <s v="Delivered"/>
    <n v="916"/>
    <n v="21.06"/>
    <n v="19.53"/>
    <n v="25"/>
    <s v="Yes"/>
    <d v="2023-05-13T00:00:00"/>
    <s v="Net 15"/>
    <n v="15"/>
    <d v="2023-05-28T00:00:00"/>
    <d v="2023-05-24T00:00:00"/>
    <n v="11"/>
    <x v="1"/>
    <x v="1"/>
    <n v="0"/>
    <s v="Efficient"/>
  </r>
  <r>
    <s v="PO-00575"/>
    <x v="4"/>
    <d v="2022-06-23T00:00:00"/>
    <m/>
    <s v="Raw Materials"/>
    <s v="Delivered"/>
    <n v="872"/>
    <n v="17.18"/>
    <n v="16.63"/>
    <n v="20"/>
    <s v="Yes"/>
    <d v="1899-12-30T00:00:00"/>
    <s v="Net 30"/>
    <n v="30"/>
    <d v="1900-01-29T00:00:00"/>
    <d v="1900-02-13T00:00:00"/>
    <n v="45"/>
    <x v="0"/>
    <x v="0"/>
    <n v="15"/>
    <s v="Inefficient"/>
  </r>
  <r>
    <s v="PO-00576"/>
    <x v="3"/>
    <d v="2023-11-06T00:00:00"/>
    <d v="2023-11-15T00:00:00"/>
    <s v="Electronics"/>
    <s v="Delivered"/>
    <n v="985"/>
    <n v="83.85"/>
    <n v="80.88"/>
    <m/>
    <s v="No"/>
    <d v="2023-11-15T00:00:00"/>
    <s v="Net 30"/>
    <n v="30"/>
    <d v="2023-12-15T00:00:00"/>
    <d v="2024-01-03T00:00:00"/>
    <n v="49"/>
    <x v="0"/>
    <x v="0"/>
    <n v="19"/>
    <s v="Inefficient"/>
  </r>
  <r>
    <s v="PO-00577"/>
    <x v="2"/>
    <d v="2022-03-28T00:00:00"/>
    <d v="2022-04-04T00:00:00"/>
    <s v="Raw Materials"/>
    <s v="Delivered"/>
    <n v="1893"/>
    <n v="55.14"/>
    <n v="50.1"/>
    <n v="98"/>
    <s v="Yes"/>
    <d v="2022-04-04T00:00:00"/>
    <s v="Net 15"/>
    <n v="15"/>
    <d v="2022-04-19T00:00:00"/>
    <d v="2022-04-17T00:00:00"/>
    <n v="13"/>
    <x v="1"/>
    <x v="1"/>
    <n v="0"/>
    <s v="Efficient"/>
  </r>
  <r>
    <s v="PO-00578"/>
    <x v="0"/>
    <d v="2022-10-18T00:00:00"/>
    <m/>
    <s v="MRO"/>
    <s v="Delivered"/>
    <n v="705"/>
    <n v="75.19"/>
    <n v="69.55"/>
    <n v="19"/>
    <s v="Yes"/>
    <d v="1899-12-30T00:00:00"/>
    <s v="Net 15"/>
    <n v="15"/>
    <d v="1900-01-14T00:00:00"/>
    <d v="1900-01-29T00:00:00"/>
    <n v="30"/>
    <x v="0"/>
    <x v="1"/>
    <n v="15"/>
    <s v="Inefficient"/>
  </r>
  <r>
    <s v="PO-00579"/>
    <x v="1"/>
    <d v="2023-06-12T00:00:00"/>
    <d v="2023-06-28T00:00:00"/>
    <s v="MRO"/>
    <s v="Delivered"/>
    <n v="318"/>
    <n v="53.31"/>
    <n v="51.78"/>
    <m/>
    <s v="No"/>
    <d v="2023-06-28T00:00:00"/>
    <s v="Net 15"/>
    <n v="15"/>
    <d v="2023-07-13T00:00:00"/>
    <d v="2023-08-02T00:00:00"/>
    <n v="35"/>
    <x v="0"/>
    <x v="0"/>
    <n v="20"/>
    <s v="Inefficient"/>
  </r>
  <r>
    <s v="PO-00580"/>
    <x v="0"/>
    <d v="2023-11-11T00:00:00"/>
    <d v="2023-11-16T00:00:00"/>
    <s v="Office Supplies"/>
    <s v="Pending"/>
    <n v="419"/>
    <n v="35.72"/>
    <n v="32.74"/>
    <n v="7"/>
    <s v="Yes"/>
    <d v="2023-11-16T00:00:00"/>
    <s v="Net 45"/>
    <n v="45"/>
    <d v="2023-12-31T00:00:00"/>
    <d v="2024-01-20T00:00:00"/>
    <n v="65"/>
    <x v="0"/>
    <x v="2"/>
    <n v="20"/>
    <s v="Inefficient"/>
  </r>
  <r>
    <s v="PO-00581"/>
    <x v="2"/>
    <d v="2023-10-11T00:00:00"/>
    <d v="2023-10-26T00:00:00"/>
    <s v="MRO"/>
    <s v="Delivered"/>
    <n v="685"/>
    <n v="92.51"/>
    <n v="90.05"/>
    <n v="38"/>
    <s v="Yes"/>
    <d v="2023-10-26T00:00:00"/>
    <s v="Net 30"/>
    <n v="30"/>
    <d v="2023-11-25T00:00:00"/>
    <d v="2023-12-07T00:00:00"/>
    <n v="42"/>
    <x v="0"/>
    <x v="0"/>
    <n v="12"/>
    <s v="Inefficient"/>
  </r>
  <r>
    <s v="PO-00582"/>
    <x v="1"/>
    <d v="2023-09-27T00:00:00"/>
    <d v="2023-10-12T00:00:00"/>
    <s v="Office Supplies"/>
    <s v="Partially Delivered"/>
    <n v="1179"/>
    <n v="90.14"/>
    <n v="82.63"/>
    <n v="194"/>
    <s v="Yes"/>
    <d v="2023-10-12T00:00:00"/>
    <s v="Net 30"/>
    <n v="30"/>
    <d v="2023-11-11T00:00:00"/>
    <d v="2023-11-13T00:00:00"/>
    <n v="32"/>
    <x v="0"/>
    <x v="0"/>
    <n v="2"/>
    <s v="Inefficient"/>
  </r>
  <r>
    <s v="PO-00583"/>
    <x v="0"/>
    <d v="2022-12-10T00:00:00"/>
    <m/>
    <s v="Raw Materials"/>
    <s v="Delivered"/>
    <n v="1743"/>
    <n v="76.510000000000005"/>
    <n v="65.88"/>
    <n v="40"/>
    <s v="Yes"/>
    <d v="1899-12-30T00:00:00"/>
    <s v="Net 45"/>
    <n v="45"/>
    <d v="1900-02-13T00:00:00"/>
    <d v="1900-02-25T00:00:00"/>
    <n v="57"/>
    <x v="0"/>
    <x v="0"/>
    <n v="12"/>
    <s v="Inefficient"/>
  </r>
  <r>
    <s v="PO-00584"/>
    <x v="0"/>
    <d v="2022-04-06T00:00:00"/>
    <d v="2022-04-17T00:00:00"/>
    <s v="MRO"/>
    <s v="Delivered"/>
    <n v="1732"/>
    <n v="35.01"/>
    <n v="34.18"/>
    <n v="40"/>
    <s v="Yes"/>
    <d v="2022-04-17T00:00:00"/>
    <s v="Net 30"/>
    <n v="30"/>
    <d v="2022-05-17T00:00:00"/>
    <d v="2022-06-01T00:00:00"/>
    <n v="45"/>
    <x v="0"/>
    <x v="0"/>
    <n v="15"/>
    <s v="Inefficient"/>
  </r>
  <r>
    <s v="PO-00585"/>
    <x v="3"/>
    <d v="2022-08-29T00:00:00"/>
    <d v="2022-09-01T00:00:00"/>
    <s v="Office Supplies"/>
    <s v="Delivered"/>
    <n v="706"/>
    <n v="65.33"/>
    <n v="62.06"/>
    <n v="60"/>
    <s v="No"/>
    <d v="2022-09-01T00:00:00"/>
    <s v="Net 15"/>
    <n v="15"/>
    <d v="2022-09-16T00:00:00"/>
    <d v="2022-09-28T00:00:00"/>
    <n v="27"/>
    <x v="0"/>
    <x v="1"/>
    <n v="12"/>
    <s v="Inefficient"/>
  </r>
  <r>
    <s v="PO-00586"/>
    <x v="2"/>
    <d v="2023-11-20T00:00:00"/>
    <d v="2023-11-30T00:00:00"/>
    <s v="MRO"/>
    <s v="Cancelled"/>
    <n v="169"/>
    <n v="47.16"/>
    <n v="43.4"/>
    <m/>
    <s v="Yes"/>
    <d v="2023-11-30T00:00:00"/>
    <s v="Net 15"/>
    <n v="15"/>
    <d v="2023-12-15T00:00:00"/>
    <d v="2023-12-29T00:00:00"/>
    <n v="29"/>
    <x v="0"/>
    <x v="1"/>
    <n v="14"/>
    <s v="Inefficient"/>
  </r>
  <r>
    <s v="PO-00587"/>
    <x v="2"/>
    <d v="2022-11-14T00:00:00"/>
    <d v="2022-11-20T00:00:00"/>
    <s v="Office Supplies"/>
    <s v="Pending"/>
    <n v="880"/>
    <n v="19.149999999999999"/>
    <n v="18.690000000000001"/>
    <m/>
    <s v="No"/>
    <d v="2022-11-20T00:00:00"/>
    <s v="Net 30"/>
    <n v="30"/>
    <d v="2022-12-20T00:00:00"/>
    <d v="2022-12-21T00:00:00"/>
    <n v="31"/>
    <x v="0"/>
    <x v="0"/>
    <n v="1"/>
    <s v="Inefficient"/>
  </r>
  <r>
    <s v="PO-00588"/>
    <x v="2"/>
    <d v="2022-08-19T00:00:00"/>
    <d v="2022-08-25T00:00:00"/>
    <s v="MRO"/>
    <s v="Delivered"/>
    <n v="1860"/>
    <n v="95.8"/>
    <n v="92.17"/>
    <n v="105"/>
    <s v="No"/>
    <d v="2022-08-25T00:00:00"/>
    <s v="Net 45"/>
    <n v="45"/>
    <d v="2022-10-09T00:00:00"/>
    <d v="2022-10-10T00:00:00"/>
    <n v="46"/>
    <x v="0"/>
    <x v="0"/>
    <n v="1"/>
    <s v="Inefficient"/>
  </r>
  <r>
    <s v="PO-00589"/>
    <x v="1"/>
    <d v="2022-07-23T00:00:00"/>
    <d v="2022-08-09T00:00:00"/>
    <s v="MRO"/>
    <s v="Delivered"/>
    <n v="1677"/>
    <n v="22.98"/>
    <n v="21.71"/>
    <n v="246"/>
    <s v="Yes"/>
    <d v="2022-08-09T00:00:00"/>
    <s v="Net 45"/>
    <n v="45"/>
    <d v="2022-09-23T00:00:00"/>
    <d v="2022-10-08T00:00:00"/>
    <n v="60"/>
    <x v="0"/>
    <x v="0"/>
    <n v="15"/>
    <s v="Inefficient"/>
  </r>
  <r>
    <s v="PO-00590"/>
    <x v="3"/>
    <d v="2022-05-31T00:00:00"/>
    <d v="2022-06-07T00:00:00"/>
    <s v="Packaging"/>
    <s v="Partially Delivered"/>
    <n v="1131"/>
    <n v="97.43"/>
    <n v="91.28"/>
    <n v="103"/>
    <s v="Yes"/>
    <d v="2022-06-07T00:00:00"/>
    <s v="Net 45"/>
    <n v="45"/>
    <d v="2022-07-22T00:00:00"/>
    <d v="2022-07-24T00:00:00"/>
    <n v="47"/>
    <x v="0"/>
    <x v="0"/>
    <n v="2"/>
    <s v="Inefficient"/>
  </r>
  <r>
    <s v="PO-00591"/>
    <x v="4"/>
    <d v="2022-01-26T00:00:00"/>
    <d v="2022-02-03T00:00:00"/>
    <s v="Raw Materials"/>
    <s v="Cancelled"/>
    <n v="1419"/>
    <n v="50.14"/>
    <n v="43.46"/>
    <m/>
    <s v="Yes"/>
    <d v="2022-02-03T00:00:00"/>
    <s v="Net 30"/>
    <n v="30"/>
    <d v="2022-03-05T00:00:00"/>
    <d v="2022-03-21T00:00:00"/>
    <n v="46"/>
    <x v="0"/>
    <x v="0"/>
    <n v="16"/>
    <s v="Inefficient"/>
  </r>
  <r>
    <s v="PO-00592"/>
    <x v="1"/>
    <d v="2022-02-17T00:00:00"/>
    <d v="2022-02-18T00:00:00"/>
    <s v="Raw Materials"/>
    <s v="Pending"/>
    <n v="790"/>
    <n v="26.8"/>
    <n v="25.62"/>
    <n v="115"/>
    <s v="Yes"/>
    <d v="2022-02-18T00:00:00"/>
    <s v="Net 45"/>
    <n v="45"/>
    <d v="2022-04-04T00:00:00"/>
    <d v="2022-04-02T00:00:00"/>
    <n v="43"/>
    <x v="1"/>
    <x v="0"/>
    <n v="0"/>
    <s v="Efficient"/>
  </r>
  <r>
    <s v="PO-00593"/>
    <x v="2"/>
    <d v="2022-09-08T00:00:00"/>
    <d v="2022-09-27T00:00:00"/>
    <s v="MRO"/>
    <s v="Pending"/>
    <n v="1547"/>
    <n v="61.12"/>
    <n v="53.43"/>
    <n v="77"/>
    <s v="Yes"/>
    <d v="2022-09-27T00:00:00"/>
    <s v="Net 45"/>
    <n v="45"/>
    <d v="2022-11-11T00:00:00"/>
    <d v="2022-11-12T00:00:00"/>
    <n v="46"/>
    <x v="0"/>
    <x v="0"/>
    <n v="1"/>
    <s v="Inefficient"/>
  </r>
  <r>
    <s v="PO-00594"/>
    <x v="1"/>
    <d v="2023-05-02T00:00:00"/>
    <d v="2023-05-20T00:00:00"/>
    <s v="Office Supplies"/>
    <s v="Cancelled"/>
    <n v="166"/>
    <n v="95.65"/>
    <n v="94.48"/>
    <n v="23"/>
    <s v="Yes"/>
    <d v="2023-05-20T00:00:00"/>
    <s v="Net 45"/>
    <n v="45"/>
    <d v="2023-07-04T00:00:00"/>
    <d v="2023-06-29T00:00:00"/>
    <n v="40"/>
    <x v="1"/>
    <x v="0"/>
    <n v="0"/>
    <s v="Efficient"/>
  </r>
  <r>
    <s v="PO-00595"/>
    <x v="0"/>
    <d v="2023-09-18T00:00:00"/>
    <d v="2023-09-21T00:00:00"/>
    <s v="Electronics"/>
    <s v="Delivered"/>
    <n v="1903"/>
    <n v="83.49"/>
    <n v="82.33"/>
    <n v="43"/>
    <s v="Yes"/>
    <d v="2023-09-21T00:00:00"/>
    <s v="Net 30"/>
    <n v="30"/>
    <d v="2023-10-21T00:00:00"/>
    <d v="2023-11-05T00:00:00"/>
    <n v="45"/>
    <x v="0"/>
    <x v="0"/>
    <n v="15"/>
    <s v="Inefficient"/>
  </r>
  <r>
    <s v="PO-00596"/>
    <x v="1"/>
    <d v="2022-03-16T00:00:00"/>
    <d v="2022-03-29T00:00:00"/>
    <s v="Office Supplies"/>
    <s v="Partially Delivered"/>
    <n v="840"/>
    <n v="83.42"/>
    <n v="80.349999999999994"/>
    <n v="153"/>
    <s v="Yes"/>
    <d v="2022-03-29T00:00:00"/>
    <s v="Net 15"/>
    <n v="15"/>
    <d v="2022-04-13T00:00:00"/>
    <d v="2022-05-01T00:00:00"/>
    <n v="33"/>
    <x v="0"/>
    <x v="0"/>
    <n v="18"/>
    <s v="Inefficient"/>
  </r>
  <r>
    <s v="PO-00597"/>
    <x v="1"/>
    <d v="2023-04-12T00:00:00"/>
    <m/>
    <s v="MRO"/>
    <s v="Delivered"/>
    <n v="1200"/>
    <n v="74.489999999999995"/>
    <n v="64.63"/>
    <n v="161"/>
    <s v="Yes"/>
    <d v="1899-12-30T00:00:00"/>
    <s v="Net 30"/>
    <n v="30"/>
    <d v="1900-01-29T00:00:00"/>
    <d v="1900-02-07T00:00:00"/>
    <n v="39"/>
    <x v="0"/>
    <x v="0"/>
    <n v="9"/>
    <s v="Inefficient"/>
  </r>
  <r>
    <s v="PO-00598"/>
    <x v="2"/>
    <d v="2023-03-01T00:00:00"/>
    <d v="2023-03-18T00:00:00"/>
    <s v="Raw Materials"/>
    <s v="Delivered"/>
    <n v="1466"/>
    <n v="77.37"/>
    <n v="70.349999999999994"/>
    <n v="72"/>
    <s v="Yes"/>
    <d v="2023-03-18T00:00:00"/>
    <s v="Net 15"/>
    <n v="15"/>
    <d v="2023-04-02T00:00:00"/>
    <d v="2023-03-30T00:00:00"/>
    <n v="12"/>
    <x v="1"/>
    <x v="1"/>
    <n v="0"/>
    <s v="Efficient"/>
  </r>
  <r>
    <s v="PO-00599"/>
    <x v="0"/>
    <d v="2023-10-07T00:00:00"/>
    <d v="2023-10-21T00:00:00"/>
    <s v="Office Supplies"/>
    <s v="Delivered"/>
    <n v="1981"/>
    <n v="95.5"/>
    <n v="94.39"/>
    <n v="49"/>
    <s v="Yes"/>
    <d v="2023-10-21T00:00:00"/>
    <s v="Net 30"/>
    <n v="30"/>
    <d v="2023-11-20T00:00:00"/>
    <d v="2023-11-20T00:00:00"/>
    <n v="30"/>
    <x v="1"/>
    <x v="1"/>
    <n v="0"/>
    <s v="Efficient"/>
  </r>
  <r>
    <s v="PO-00600"/>
    <x v="2"/>
    <d v="2023-08-13T00:00:00"/>
    <d v="2023-08-16T00:00:00"/>
    <s v="Packaging"/>
    <s v="Delivered"/>
    <n v="1062"/>
    <n v="35.549999999999997"/>
    <n v="32.380000000000003"/>
    <m/>
    <s v="Yes"/>
    <d v="2023-08-16T00:00:00"/>
    <s v="Net 30"/>
    <n v="30"/>
    <d v="2023-09-15T00:00:00"/>
    <d v="2023-09-11T00:00:00"/>
    <n v="26"/>
    <x v="1"/>
    <x v="1"/>
    <n v="0"/>
    <s v="Efficient"/>
  </r>
  <r>
    <s v="PO-00601"/>
    <x v="0"/>
    <d v="2022-07-19T00:00:00"/>
    <d v="2022-07-30T00:00:00"/>
    <s v="MRO"/>
    <s v="Delivered"/>
    <n v="1714"/>
    <n v="55.67"/>
    <n v="55.09"/>
    <n v="42"/>
    <s v="Yes"/>
    <d v="2022-07-30T00:00:00"/>
    <s v="Net 30"/>
    <n v="30"/>
    <d v="2022-08-29T00:00:00"/>
    <d v="2022-09-12T00:00:00"/>
    <n v="44"/>
    <x v="0"/>
    <x v="0"/>
    <n v="14"/>
    <s v="Inefficient"/>
  </r>
  <r>
    <s v="PO-00602"/>
    <x v="0"/>
    <d v="2023-12-15T00:00:00"/>
    <d v="2023-12-30T00:00:00"/>
    <s v="Office Supplies"/>
    <s v="Delivered"/>
    <n v="1131"/>
    <n v="33.35"/>
    <n v="31.28"/>
    <n v="23"/>
    <s v="Yes"/>
    <d v="2023-12-30T00:00:00"/>
    <s v="Net 45"/>
    <n v="45"/>
    <d v="2024-02-13T00:00:00"/>
    <d v="2024-02-15T00:00:00"/>
    <n v="47"/>
    <x v="0"/>
    <x v="0"/>
    <n v="2"/>
    <s v="Inefficient"/>
  </r>
  <r>
    <s v="PO-00603"/>
    <x v="0"/>
    <d v="2023-01-29T00:00:00"/>
    <d v="2023-02-15T00:00:00"/>
    <s v="Office Supplies"/>
    <s v="Delivered"/>
    <n v="683"/>
    <n v="104.82"/>
    <n v="101.34"/>
    <m/>
    <s v="Yes"/>
    <d v="2023-02-15T00:00:00"/>
    <s v="Net 15"/>
    <n v="15"/>
    <d v="2023-03-02T00:00:00"/>
    <d v="2023-03-05T00:00:00"/>
    <n v="18"/>
    <x v="0"/>
    <x v="1"/>
    <n v="3"/>
    <s v="Inefficient"/>
  </r>
  <r>
    <s v="PO-00604"/>
    <x v="2"/>
    <d v="2023-05-22T00:00:00"/>
    <d v="2023-06-09T00:00:00"/>
    <s v="Packaging"/>
    <s v="Partially Delivered"/>
    <n v="562"/>
    <n v="102.56"/>
    <n v="90.88"/>
    <n v="38"/>
    <s v="Yes"/>
    <d v="2023-06-09T00:00:00"/>
    <s v="Net 15"/>
    <n v="15"/>
    <d v="2023-06-24T00:00:00"/>
    <d v="2023-07-04T00:00:00"/>
    <n v="25"/>
    <x v="0"/>
    <x v="1"/>
    <n v="10"/>
    <s v="Inefficient"/>
  </r>
  <r>
    <s v="PO-00605"/>
    <x v="0"/>
    <d v="2023-02-14T00:00:00"/>
    <d v="2023-02-20T00:00:00"/>
    <s v="Electronics"/>
    <s v="Delivered"/>
    <n v="1824"/>
    <n v="14.43"/>
    <n v="14.11"/>
    <n v="36"/>
    <s v="Yes"/>
    <d v="2023-02-20T00:00:00"/>
    <s v="Net 30"/>
    <n v="30"/>
    <d v="2023-03-22T00:00:00"/>
    <d v="2023-04-05T00:00:00"/>
    <n v="44"/>
    <x v="0"/>
    <x v="0"/>
    <n v="14"/>
    <s v="Inefficient"/>
  </r>
  <r>
    <s v="PO-00606"/>
    <x v="3"/>
    <d v="2022-09-07T00:00:00"/>
    <d v="2022-09-12T00:00:00"/>
    <s v="Electronics"/>
    <s v="Partially Delivered"/>
    <n v="851"/>
    <n v="76.44"/>
    <n v="74.760000000000005"/>
    <n v="91"/>
    <s v="Yes"/>
    <d v="2022-09-12T00:00:00"/>
    <s v="Net 45"/>
    <n v="45"/>
    <d v="2022-10-27T00:00:00"/>
    <d v="2022-10-29T00:00:00"/>
    <n v="47"/>
    <x v="0"/>
    <x v="0"/>
    <n v="2"/>
    <s v="Inefficient"/>
  </r>
  <r>
    <s v="PO-00607"/>
    <x v="3"/>
    <d v="2022-06-01T00:00:00"/>
    <d v="2022-06-03T00:00:00"/>
    <s v="Office Supplies"/>
    <s v="Delivered"/>
    <n v="1169"/>
    <n v="95.6"/>
    <n v="82.16"/>
    <n v="103"/>
    <s v="Yes"/>
    <d v="2022-06-03T00:00:00"/>
    <s v="Net 15"/>
    <n v="15"/>
    <d v="2022-06-18T00:00:00"/>
    <d v="2022-06-27T00:00:00"/>
    <n v="24"/>
    <x v="0"/>
    <x v="1"/>
    <n v="9"/>
    <s v="Inefficient"/>
  </r>
  <r>
    <s v="PO-00608"/>
    <x v="4"/>
    <d v="2023-11-03T00:00:00"/>
    <d v="2023-11-20T00:00:00"/>
    <s v="MRO"/>
    <s v="Delivered"/>
    <n v="1711"/>
    <n v="29.14"/>
    <n v="26.35"/>
    <n v="48"/>
    <s v="Yes"/>
    <d v="2023-11-20T00:00:00"/>
    <s v="Net 45"/>
    <n v="45"/>
    <d v="2024-01-04T00:00:00"/>
    <d v="2024-01-04T00:00:00"/>
    <n v="45"/>
    <x v="1"/>
    <x v="0"/>
    <n v="0"/>
    <s v="Efficient"/>
  </r>
  <r>
    <s v="PO-00609"/>
    <x v="3"/>
    <d v="2023-12-06T00:00:00"/>
    <d v="2023-12-12T00:00:00"/>
    <s v="Packaging"/>
    <s v="Pending"/>
    <n v="1191"/>
    <n v="68.14"/>
    <n v="61.71"/>
    <n v="112"/>
    <s v="Yes"/>
    <d v="2023-12-12T00:00:00"/>
    <s v="Net 30"/>
    <n v="30"/>
    <d v="2024-01-11T00:00:00"/>
    <d v="2024-01-26T00:00:00"/>
    <n v="45"/>
    <x v="0"/>
    <x v="0"/>
    <n v="15"/>
    <s v="Inefficient"/>
  </r>
  <r>
    <s v="PO-00610"/>
    <x v="4"/>
    <d v="2022-01-06T00:00:00"/>
    <d v="2022-01-14T00:00:00"/>
    <s v="Electronics"/>
    <s v="Delivered"/>
    <n v="609"/>
    <n v="92.39"/>
    <n v="82.75"/>
    <n v="29"/>
    <s v="Yes"/>
    <d v="2022-01-14T00:00:00"/>
    <s v="Net 45"/>
    <n v="45"/>
    <d v="2022-02-28T00:00:00"/>
    <d v="2022-03-01T00:00:00"/>
    <n v="46"/>
    <x v="0"/>
    <x v="0"/>
    <n v="1"/>
    <s v="Inefficient"/>
  </r>
  <r>
    <s v="PO-00611"/>
    <x v="3"/>
    <d v="2022-04-20T00:00:00"/>
    <d v="2022-05-07T00:00:00"/>
    <s v="Office Supplies"/>
    <s v="Delivered"/>
    <n v="1674"/>
    <n v="13.25"/>
    <n v="11.77"/>
    <n v="181"/>
    <s v="Yes"/>
    <d v="2022-05-07T00:00:00"/>
    <s v="Net 30"/>
    <n v="30"/>
    <d v="2022-06-06T00:00:00"/>
    <d v="2022-06-22T00:00:00"/>
    <n v="46"/>
    <x v="0"/>
    <x v="0"/>
    <n v="16"/>
    <s v="Inefficient"/>
  </r>
  <r>
    <s v="PO-00612"/>
    <x v="2"/>
    <d v="2023-03-12T00:00:00"/>
    <d v="2023-03-15T00:00:00"/>
    <s v="MRO"/>
    <s v="Delivered"/>
    <n v="537"/>
    <n v="77.86"/>
    <n v="71.180000000000007"/>
    <n v="20"/>
    <s v="Yes"/>
    <d v="2023-03-15T00:00:00"/>
    <s v="Net 45"/>
    <n v="45"/>
    <d v="2023-04-29T00:00:00"/>
    <d v="2023-05-16T00:00:00"/>
    <n v="62"/>
    <x v="0"/>
    <x v="2"/>
    <n v="17"/>
    <s v="Inefficient"/>
  </r>
  <r>
    <s v="PO-00613"/>
    <x v="4"/>
    <d v="2022-08-13T00:00:00"/>
    <d v="2022-08-31T00:00:00"/>
    <s v="Electronics"/>
    <s v="Delivered"/>
    <n v="1310"/>
    <n v="38.049999999999997"/>
    <n v="37"/>
    <n v="45"/>
    <s v="Yes"/>
    <d v="2022-08-31T00:00:00"/>
    <s v="Net 45"/>
    <n v="45"/>
    <d v="2022-10-15T00:00:00"/>
    <d v="2022-10-16T00:00:00"/>
    <n v="46"/>
    <x v="0"/>
    <x v="0"/>
    <n v="1"/>
    <s v="Inefficient"/>
  </r>
  <r>
    <s v="PO-00614"/>
    <x v="1"/>
    <d v="2022-06-30T00:00:00"/>
    <d v="2022-07-10T00:00:00"/>
    <s v="Raw Materials"/>
    <s v="Delivered"/>
    <n v="1958"/>
    <n v="95.53"/>
    <n v="91.72"/>
    <n v="308"/>
    <s v="Yes"/>
    <d v="2022-07-10T00:00:00"/>
    <s v="Net 45"/>
    <n v="45"/>
    <d v="2022-08-24T00:00:00"/>
    <d v="2022-08-24T00:00:00"/>
    <n v="45"/>
    <x v="1"/>
    <x v="0"/>
    <n v="0"/>
    <s v="Efficient"/>
  </r>
  <r>
    <s v="PO-00615"/>
    <x v="1"/>
    <d v="2023-12-14T00:00:00"/>
    <d v="2023-12-17T00:00:00"/>
    <s v="Office Supplies"/>
    <s v="Delivered"/>
    <n v="946"/>
    <n v="108.6"/>
    <n v="101.78"/>
    <n v="146"/>
    <s v="Yes"/>
    <d v="2023-12-17T00:00:00"/>
    <s v="Net 15"/>
    <n v="15"/>
    <d v="2024-01-01T00:00:00"/>
    <d v="2024-01-01T00:00:00"/>
    <n v="15"/>
    <x v="1"/>
    <x v="1"/>
    <n v="0"/>
    <s v="Efficient"/>
  </r>
  <r>
    <s v="PO-00616"/>
    <x v="3"/>
    <d v="2023-06-15T00:00:00"/>
    <d v="2023-06-21T00:00:00"/>
    <s v="Packaging"/>
    <s v="Partially Delivered"/>
    <n v="1345"/>
    <n v="103.06"/>
    <n v="95.14"/>
    <m/>
    <s v="Yes"/>
    <d v="2023-06-21T00:00:00"/>
    <s v="Net 15"/>
    <n v="15"/>
    <d v="2023-07-06T00:00:00"/>
    <d v="2023-07-14T00:00:00"/>
    <n v="23"/>
    <x v="0"/>
    <x v="1"/>
    <n v="8"/>
    <s v="Inefficient"/>
  </r>
  <r>
    <s v="PO-00617"/>
    <x v="1"/>
    <d v="2023-04-21T00:00:00"/>
    <d v="2023-05-10T00:00:00"/>
    <s v="MRO"/>
    <s v="Delivered"/>
    <n v="1262"/>
    <n v="56.63"/>
    <n v="51.46"/>
    <m/>
    <s v="No"/>
    <d v="2023-05-10T00:00:00"/>
    <s v="Net 45"/>
    <n v="45"/>
    <d v="2023-06-24T00:00:00"/>
    <d v="2023-07-03T00:00:00"/>
    <n v="54"/>
    <x v="0"/>
    <x v="0"/>
    <n v="9"/>
    <s v="Inefficient"/>
  </r>
  <r>
    <s v="PO-00618"/>
    <x v="3"/>
    <d v="2022-02-21T00:00:00"/>
    <d v="2022-03-13T00:00:00"/>
    <s v="Office Supplies"/>
    <s v="Pending"/>
    <n v="753"/>
    <n v="88.02"/>
    <n v="79.92"/>
    <n v="75"/>
    <s v="Yes"/>
    <d v="2022-03-13T00:00:00"/>
    <s v="Net 45"/>
    <n v="45"/>
    <d v="2022-04-27T00:00:00"/>
    <d v="2022-04-27T00:00:00"/>
    <n v="45"/>
    <x v="1"/>
    <x v="0"/>
    <n v="0"/>
    <s v="Efficient"/>
  </r>
  <r>
    <s v="PO-00619"/>
    <x v="3"/>
    <d v="2023-07-25T00:00:00"/>
    <d v="2023-08-14T00:00:00"/>
    <s v="Electronics"/>
    <s v="Delivered"/>
    <n v="1520"/>
    <n v="93.75"/>
    <n v="81.63"/>
    <n v="149"/>
    <s v="Yes"/>
    <d v="2023-08-14T00:00:00"/>
    <s v="Net 30"/>
    <n v="30"/>
    <d v="2023-09-13T00:00:00"/>
    <d v="2023-09-24T00:00:00"/>
    <n v="41"/>
    <x v="0"/>
    <x v="0"/>
    <n v="11"/>
    <s v="Inefficient"/>
  </r>
  <r>
    <s v="PO-00620"/>
    <x v="1"/>
    <d v="2022-09-13T00:00:00"/>
    <d v="2022-10-02T00:00:00"/>
    <s v="Office Supplies"/>
    <s v="Delivered"/>
    <n v="630"/>
    <n v="40.270000000000003"/>
    <n v="37.54"/>
    <n v="76"/>
    <s v="Yes"/>
    <d v="2022-10-02T00:00:00"/>
    <s v="Net 15"/>
    <n v="15"/>
    <d v="2022-10-17T00:00:00"/>
    <d v="2022-10-12T00:00:00"/>
    <n v="10"/>
    <x v="1"/>
    <x v="1"/>
    <n v="0"/>
    <s v="Efficient"/>
  </r>
  <r>
    <s v="PO-00621"/>
    <x v="1"/>
    <d v="2022-05-05T00:00:00"/>
    <d v="2022-05-06T00:00:00"/>
    <s v="Office Supplies"/>
    <s v="Delivered"/>
    <n v="839"/>
    <n v="86.29"/>
    <n v="82.51"/>
    <n v="110"/>
    <s v="Yes"/>
    <d v="2022-05-06T00:00:00"/>
    <s v="Net 30"/>
    <n v="30"/>
    <d v="2022-06-05T00:00:00"/>
    <d v="2022-06-01T00:00:00"/>
    <n v="26"/>
    <x v="1"/>
    <x v="1"/>
    <n v="0"/>
    <s v="Efficient"/>
  </r>
  <r>
    <s v="PO-00622"/>
    <x v="0"/>
    <d v="2023-04-13T00:00:00"/>
    <d v="2023-05-02T00:00:00"/>
    <s v="Electronics"/>
    <s v="Delivered"/>
    <n v="910"/>
    <n v="14.33"/>
    <n v="14.07"/>
    <n v="27"/>
    <s v="Yes"/>
    <d v="2023-05-02T00:00:00"/>
    <s v="Net 30"/>
    <n v="30"/>
    <d v="2023-06-01T00:00:00"/>
    <d v="2023-06-16T00:00:00"/>
    <n v="45"/>
    <x v="0"/>
    <x v="0"/>
    <n v="15"/>
    <s v="Inefficient"/>
  </r>
  <r>
    <s v="PO-00623"/>
    <x v="4"/>
    <d v="2022-05-17T00:00:00"/>
    <d v="2022-05-24T00:00:00"/>
    <s v="Raw Materials"/>
    <s v="Delivered"/>
    <n v="296"/>
    <n v="64.94"/>
    <n v="63.61"/>
    <m/>
    <s v="Yes"/>
    <d v="2022-05-24T00:00:00"/>
    <s v="Net 30"/>
    <n v="30"/>
    <d v="2022-06-23T00:00:00"/>
    <d v="2022-07-02T00:00:00"/>
    <n v="39"/>
    <x v="0"/>
    <x v="0"/>
    <n v="9"/>
    <s v="Inefficient"/>
  </r>
  <r>
    <s v="PO-00624"/>
    <x v="3"/>
    <d v="2023-04-21T00:00:00"/>
    <d v="2023-05-05T00:00:00"/>
    <s v="MRO"/>
    <s v="Delivered"/>
    <n v="1149"/>
    <n v="33"/>
    <n v="30.65"/>
    <n v="141"/>
    <s v="Yes"/>
    <d v="2023-05-05T00:00:00"/>
    <s v="Net 15"/>
    <n v="15"/>
    <d v="2023-05-20T00:00:00"/>
    <d v="2023-05-21T00:00:00"/>
    <n v="16"/>
    <x v="0"/>
    <x v="1"/>
    <n v="1"/>
    <s v="Inefficient"/>
  </r>
  <r>
    <s v="PO-00625"/>
    <x v="1"/>
    <d v="2023-11-15T00:00:00"/>
    <d v="2023-11-16T00:00:00"/>
    <s v="Electronics"/>
    <s v="Delivered"/>
    <n v="203"/>
    <n v="23.14"/>
    <n v="20"/>
    <m/>
    <s v="No"/>
    <d v="2023-11-16T00:00:00"/>
    <s v="Net 45"/>
    <n v="45"/>
    <d v="2023-12-31T00:00:00"/>
    <d v="2024-01-18T00:00:00"/>
    <n v="63"/>
    <x v="0"/>
    <x v="2"/>
    <n v="18"/>
    <s v="Inefficient"/>
  </r>
  <r>
    <s v="PO-00626"/>
    <x v="4"/>
    <d v="2023-06-28T00:00:00"/>
    <d v="2023-07-16T00:00:00"/>
    <s v="Office Supplies"/>
    <s v="Delivered"/>
    <n v="1729"/>
    <n v="18.36"/>
    <n v="16.34"/>
    <n v="47"/>
    <s v="Yes"/>
    <d v="2023-07-16T00:00:00"/>
    <s v="Net 30"/>
    <n v="30"/>
    <d v="2023-08-15T00:00:00"/>
    <d v="2023-08-13T00:00:00"/>
    <n v="28"/>
    <x v="1"/>
    <x v="1"/>
    <n v="0"/>
    <s v="Efficient"/>
  </r>
  <r>
    <s v="PO-00627"/>
    <x v="1"/>
    <d v="2023-07-27T00:00:00"/>
    <d v="2023-08-06T00:00:00"/>
    <s v="Office Supplies"/>
    <s v="Delivered"/>
    <n v="1508"/>
    <n v="79.209999999999994"/>
    <n v="73.27"/>
    <n v="226"/>
    <s v="Yes"/>
    <d v="2023-08-06T00:00:00"/>
    <s v="Net 45"/>
    <n v="45"/>
    <d v="2023-09-20T00:00:00"/>
    <d v="2023-09-21T00:00:00"/>
    <n v="46"/>
    <x v="0"/>
    <x v="0"/>
    <n v="1"/>
    <s v="Inefficient"/>
  </r>
  <r>
    <s v="PO-00628"/>
    <x v="1"/>
    <d v="2023-09-02T00:00:00"/>
    <d v="2023-09-15T00:00:00"/>
    <s v="Packaging"/>
    <s v="Partially Delivered"/>
    <n v="1046"/>
    <n v="44.65"/>
    <n v="40.1"/>
    <n v="165"/>
    <s v="No"/>
    <d v="2023-09-15T00:00:00"/>
    <s v="Net 45"/>
    <n v="45"/>
    <d v="2023-10-30T00:00:00"/>
    <d v="2023-11-11T00:00:00"/>
    <n v="57"/>
    <x v="0"/>
    <x v="0"/>
    <n v="12"/>
    <s v="Inefficient"/>
  </r>
  <r>
    <s v="PO-00629"/>
    <x v="0"/>
    <d v="2022-11-21T00:00:00"/>
    <d v="2022-11-24T00:00:00"/>
    <s v="Office Supplies"/>
    <s v="Delivered"/>
    <n v="1159"/>
    <n v="78.989999999999995"/>
    <n v="71.69"/>
    <n v="14"/>
    <s v="Yes"/>
    <d v="2022-11-24T00:00:00"/>
    <s v="Net 45"/>
    <n v="45"/>
    <d v="2023-01-08T00:00:00"/>
    <d v="2023-01-28T00:00:00"/>
    <n v="65"/>
    <x v="0"/>
    <x v="2"/>
    <n v="20"/>
    <s v="Inefficient"/>
  </r>
  <r>
    <s v="PO-00630"/>
    <x v="3"/>
    <d v="2023-03-30T00:00:00"/>
    <d v="2023-04-05T00:00:00"/>
    <s v="Electronics"/>
    <s v="Delivered"/>
    <n v="746"/>
    <n v="16.989999999999998"/>
    <n v="15.35"/>
    <n v="69"/>
    <s v="No"/>
    <d v="2023-04-05T00:00:00"/>
    <s v="Net 30"/>
    <n v="30"/>
    <d v="2023-05-05T00:00:00"/>
    <d v="2023-05-25T00:00:00"/>
    <n v="50"/>
    <x v="0"/>
    <x v="0"/>
    <n v="20"/>
    <s v="Inefficient"/>
  </r>
  <r>
    <s v="PO-00631"/>
    <x v="3"/>
    <d v="2023-09-20T00:00:00"/>
    <d v="2023-10-06T00:00:00"/>
    <s v="Packaging"/>
    <s v="Delivered"/>
    <n v="1358"/>
    <n v="42.21"/>
    <n v="38.75"/>
    <n v="128"/>
    <s v="Yes"/>
    <d v="2023-10-06T00:00:00"/>
    <s v="Net 45"/>
    <n v="45"/>
    <d v="2023-11-20T00:00:00"/>
    <d v="2023-12-08T00:00:00"/>
    <n v="63"/>
    <x v="0"/>
    <x v="2"/>
    <n v="18"/>
    <s v="Inefficient"/>
  </r>
  <r>
    <s v="PO-00632"/>
    <x v="2"/>
    <d v="2023-06-01T00:00:00"/>
    <d v="2023-06-12T00:00:00"/>
    <s v="Office Supplies"/>
    <s v="Delivered"/>
    <n v="1293"/>
    <n v="63.53"/>
    <n v="59.42"/>
    <n v="79"/>
    <s v="Yes"/>
    <d v="2023-06-12T00:00:00"/>
    <s v="Net 15"/>
    <n v="15"/>
    <d v="2023-06-27T00:00:00"/>
    <d v="2023-06-23T00:00:00"/>
    <n v="11"/>
    <x v="1"/>
    <x v="1"/>
    <n v="0"/>
    <s v="Efficient"/>
  </r>
  <r>
    <s v="PO-00633"/>
    <x v="0"/>
    <d v="2023-03-13T00:00:00"/>
    <d v="2023-03-24T00:00:00"/>
    <s v="Electronics"/>
    <s v="Delivered"/>
    <n v="1142"/>
    <n v="86.85"/>
    <n v="74.28"/>
    <n v="30"/>
    <s v="Yes"/>
    <d v="2023-03-24T00:00:00"/>
    <s v="Net 30"/>
    <n v="30"/>
    <d v="2023-04-23T00:00:00"/>
    <d v="2023-05-10T00:00:00"/>
    <n v="47"/>
    <x v="0"/>
    <x v="0"/>
    <n v="17"/>
    <s v="Inefficient"/>
  </r>
  <r>
    <s v="PO-00634"/>
    <x v="4"/>
    <d v="2023-07-16T00:00:00"/>
    <d v="2023-07-27T00:00:00"/>
    <s v="MRO"/>
    <s v="Delivered"/>
    <n v="1120"/>
    <n v="42.17"/>
    <n v="37.47"/>
    <n v="33"/>
    <s v="Yes"/>
    <d v="2023-07-27T00:00:00"/>
    <s v="Net 15"/>
    <n v="15"/>
    <d v="2023-08-11T00:00:00"/>
    <d v="2023-08-23T00:00:00"/>
    <n v="27"/>
    <x v="0"/>
    <x v="1"/>
    <n v="12"/>
    <s v="Inefficient"/>
  </r>
  <r>
    <s v="PO-00635"/>
    <x v="0"/>
    <d v="2023-04-02T00:00:00"/>
    <d v="2023-04-14T00:00:00"/>
    <s v="MRO"/>
    <s v="Delivered"/>
    <n v="1058"/>
    <n v="71.3"/>
    <n v="62.04"/>
    <m/>
    <s v="Yes"/>
    <d v="2023-04-14T00:00:00"/>
    <s v="Net 30"/>
    <n v="30"/>
    <d v="2023-05-14T00:00:00"/>
    <d v="2023-05-13T00:00:00"/>
    <n v="29"/>
    <x v="1"/>
    <x v="1"/>
    <n v="0"/>
    <s v="Efficient"/>
  </r>
  <r>
    <s v="PO-00636"/>
    <x v="4"/>
    <d v="2022-06-12T00:00:00"/>
    <m/>
    <s v="Office Supplies"/>
    <s v="Delivered"/>
    <n v="143"/>
    <n v="91.98"/>
    <n v="86.02"/>
    <n v="5"/>
    <s v="Yes"/>
    <d v="1899-12-30T00:00:00"/>
    <s v="Net 45"/>
    <n v="45"/>
    <d v="1900-02-13T00:00:00"/>
    <d v="1900-02-12T00:00:00"/>
    <n v="44"/>
    <x v="1"/>
    <x v="0"/>
    <n v="0"/>
    <s v="Efficient"/>
  </r>
  <r>
    <s v="PO-00637"/>
    <x v="3"/>
    <d v="2023-05-02T00:00:00"/>
    <d v="2023-05-14T00:00:00"/>
    <s v="MRO"/>
    <s v="Delivered"/>
    <n v="1823"/>
    <n v="70.66"/>
    <n v="66.92"/>
    <n v="202"/>
    <s v="Yes"/>
    <d v="2023-05-14T00:00:00"/>
    <s v="Net 30"/>
    <n v="30"/>
    <d v="2023-06-13T00:00:00"/>
    <d v="2023-06-16T00:00:00"/>
    <n v="33"/>
    <x v="0"/>
    <x v="0"/>
    <n v="3"/>
    <s v="Inefficient"/>
  </r>
  <r>
    <s v="PO-00638"/>
    <x v="2"/>
    <d v="2023-04-06T00:00:00"/>
    <d v="2023-04-10T00:00:00"/>
    <s v="Office Supplies"/>
    <s v="Delivered"/>
    <n v="1007"/>
    <n v="33.29"/>
    <n v="28.48"/>
    <n v="49"/>
    <s v="Yes"/>
    <d v="2023-04-10T00:00:00"/>
    <s v="Net 15"/>
    <n v="15"/>
    <d v="2023-04-25T00:00:00"/>
    <d v="2023-05-10T00:00:00"/>
    <n v="30"/>
    <x v="0"/>
    <x v="1"/>
    <n v="15"/>
    <s v="Inefficient"/>
  </r>
  <r>
    <s v="PO-00639"/>
    <x v="2"/>
    <d v="2022-09-23T00:00:00"/>
    <d v="2022-10-08T00:00:00"/>
    <s v="Packaging"/>
    <s v="Delivered"/>
    <n v="1061"/>
    <n v="12.68"/>
    <n v="12.36"/>
    <n v="56"/>
    <s v="No"/>
    <d v="2022-10-08T00:00:00"/>
    <s v="Net 15"/>
    <n v="15"/>
    <d v="2022-10-23T00:00:00"/>
    <d v="2022-10-26T00:00:00"/>
    <n v="18"/>
    <x v="0"/>
    <x v="1"/>
    <n v="3"/>
    <s v="Inefficient"/>
  </r>
  <r>
    <s v="PO-00640"/>
    <x v="3"/>
    <d v="2022-09-11T00:00:00"/>
    <d v="2022-09-26T00:00:00"/>
    <s v="MRO"/>
    <s v="Pending"/>
    <n v="502"/>
    <n v="91.84"/>
    <n v="82.33"/>
    <m/>
    <s v="Yes"/>
    <d v="2022-09-26T00:00:00"/>
    <s v="Net 15"/>
    <n v="15"/>
    <d v="2022-10-11T00:00:00"/>
    <d v="2022-10-30T00:00:00"/>
    <n v="34"/>
    <x v="0"/>
    <x v="0"/>
    <n v="19"/>
    <s v="Inefficient"/>
  </r>
  <r>
    <s v="PO-00641"/>
    <x v="1"/>
    <d v="2023-10-15T00:00:00"/>
    <d v="2023-10-19T00:00:00"/>
    <s v="Packaging"/>
    <s v="Delivered"/>
    <n v="1277"/>
    <n v="13.17"/>
    <n v="11.63"/>
    <n v="199"/>
    <s v="No"/>
    <d v="2023-10-19T00:00:00"/>
    <s v="Net 30"/>
    <n v="30"/>
    <d v="2023-11-18T00:00:00"/>
    <d v="2023-11-22T00:00:00"/>
    <n v="34"/>
    <x v="0"/>
    <x v="0"/>
    <n v="4"/>
    <s v="Inefficient"/>
  </r>
  <r>
    <s v="PO-00642"/>
    <x v="0"/>
    <d v="2022-10-11T00:00:00"/>
    <d v="2022-10-24T00:00:00"/>
    <s v="Packaging"/>
    <s v="Delivered"/>
    <n v="961"/>
    <n v="92.72"/>
    <n v="88.49"/>
    <n v="22"/>
    <s v="Yes"/>
    <d v="2022-10-24T00:00:00"/>
    <s v="Net 30"/>
    <n v="30"/>
    <d v="2022-11-23T00:00:00"/>
    <d v="2022-12-03T00:00:00"/>
    <n v="40"/>
    <x v="0"/>
    <x v="0"/>
    <n v="10"/>
    <s v="Inefficient"/>
  </r>
  <r>
    <s v="PO-00643"/>
    <x v="2"/>
    <d v="2023-06-18T00:00:00"/>
    <d v="2023-07-02T00:00:00"/>
    <s v="Packaging"/>
    <s v="Delivered"/>
    <n v="267"/>
    <n v="62.5"/>
    <n v="61.18"/>
    <n v="17"/>
    <s v="Yes"/>
    <d v="2023-07-02T00:00:00"/>
    <s v="Net 15"/>
    <n v="15"/>
    <d v="2023-07-17T00:00:00"/>
    <d v="2023-07-18T00:00:00"/>
    <n v="16"/>
    <x v="0"/>
    <x v="1"/>
    <n v="1"/>
    <s v="Inefficient"/>
  </r>
  <r>
    <s v="PO-00644"/>
    <x v="1"/>
    <d v="2023-05-12T00:00:00"/>
    <d v="2023-05-18T00:00:00"/>
    <s v="Raw Materials"/>
    <s v="Cancelled"/>
    <n v="523"/>
    <n v="102.08"/>
    <n v="99.59"/>
    <m/>
    <s v="Yes"/>
    <d v="2023-05-18T00:00:00"/>
    <s v="Net 15"/>
    <n v="15"/>
    <d v="2023-06-02T00:00:00"/>
    <d v="2023-06-17T00:00:00"/>
    <n v="30"/>
    <x v="0"/>
    <x v="1"/>
    <n v="15"/>
    <s v="Inefficient"/>
  </r>
  <r>
    <s v="PO-00645"/>
    <x v="4"/>
    <d v="2023-10-04T00:00:00"/>
    <d v="2023-10-23T00:00:00"/>
    <s v="Electronics"/>
    <s v="Pending"/>
    <n v="481"/>
    <n v="90.49"/>
    <n v="77.17"/>
    <m/>
    <s v="Yes"/>
    <d v="2023-10-23T00:00:00"/>
    <s v="Net 30"/>
    <n v="30"/>
    <d v="2023-11-22T00:00:00"/>
    <d v="2023-12-11T00:00:00"/>
    <n v="49"/>
    <x v="0"/>
    <x v="0"/>
    <n v="19"/>
    <s v="Inefficient"/>
  </r>
  <r>
    <s v="PO-00646"/>
    <x v="2"/>
    <d v="2022-09-02T00:00:00"/>
    <d v="2022-09-09T00:00:00"/>
    <s v="Office Supplies"/>
    <s v="Delivered"/>
    <n v="390"/>
    <n v="103.81"/>
    <n v="100.12"/>
    <n v="20"/>
    <s v="Yes"/>
    <d v="2022-09-09T00:00:00"/>
    <s v="Net 30"/>
    <n v="30"/>
    <d v="2022-10-09T00:00:00"/>
    <d v="2022-10-11T00:00:00"/>
    <n v="32"/>
    <x v="0"/>
    <x v="0"/>
    <n v="2"/>
    <s v="Inefficient"/>
  </r>
  <r>
    <s v="PO-00647"/>
    <x v="4"/>
    <d v="2022-10-09T00:00:00"/>
    <d v="2022-10-25T00:00:00"/>
    <s v="Packaging"/>
    <s v="Delivered"/>
    <n v="600"/>
    <n v="43.43"/>
    <n v="38.76"/>
    <n v="22"/>
    <s v="Yes"/>
    <d v="2022-10-25T00:00:00"/>
    <s v="Net 30"/>
    <n v="30"/>
    <d v="2022-11-24T00:00:00"/>
    <d v="2022-11-27T00:00:00"/>
    <n v="33"/>
    <x v="0"/>
    <x v="0"/>
    <n v="3"/>
    <s v="Inefficient"/>
  </r>
  <r>
    <s v="PO-00648"/>
    <x v="1"/>
    <d v="2023-03-27T00:00:00"/>
    <m/>
    <s v="Office Supplies"/>
    <s v="Delivered"/>
    <n v="1685"/>
    <n v="84.58"/>
    <n v="75.209999999999994"/>
    <n v="253"/>
    <s v="No"/>
    <d v="1899-12-30T00:00:00"/>
    <s v="Net 45"/>
    <n v="45"/>
    <d v="1900-02-13T00:00:00"/>
    <d v="1900-02-25T00:00:00"/>
    <n v="57"/>
    <x v="0"/>
    <x v="0"/>
    <n v="12"/>
    <s v="Inefficient"/>
  </r>
  <r>
    <s v="PO-00649"/>
    <x v="4"/>
    <d v="2022-03-21T00:00:00"/>
    <d v="2022-03-31T00:00:00"/>
    <s v="Packaging"/>
    <s v="Cancelled"/>
    <n v="1362"/>
    <n v="46.64"/>
    <n v="42.85"/>
    <n v="33"/>
    <s v="Yes"/>
    <d v="2022-03-31T00:00:00"/>
    <s v="Net 15"/>
    <n v="15"/>
    <d v="2022-04-15T00:00:00"/>
    <d v="2022-04-11T00:00:00"/>
    <n v="11"/>
    <x v="1"/>
    <x v="1"/>
    <n v="0"/>
    <s v="Efficient"/>
  </r>
  <r>
    <s v="PO-00650"/>
    <x v="1"/>
    <d v="2024-01-01T00:00:00"/>
    <d v="2024-01-04T00:00:00"/>
    <s v="Electronics"/>
    <s v="Pending"/>
    <n v="1327"/>
    <n v="59.57"/>
    <n v="56.44"/>
    <n v="169"/>
    <s v="Yes"/>
    <d v="2024-01-04T00:00:00"/>
    <s v="Net 45"/>
    <n v="45"/>
    <d v="2024-02-18T00:00:00"/>
    <d v="2024-02-14T00:00:00"/>
    <n v="41"/>
    <x v="1"/>
    <x v="0"/>
    <n v="0"/>
    <s v="Efficient"/>
  </r>
  <r>
    <s v="PO-00651"/>
    <x v="4"/>
    <d v="2022-10-20T00:00:00"/>
    <m/>
    <s v="MRO"/>
    <s v="Delivered"/>
    <n v="1807"/>
    <n v="69.47"/>
    <n v="60"/>
    <n v="50"/>
    <s v="Yes"/>
    <d v="1899-12-30T00:00:00"/>
    <s v="Net 45"/>
    <n v="45"/>
    <d v="1900-02-13T00:00:00"/>
    <d v="1900-02-22T00:00:00"/>
    <n v="54"/>
    <x v="0"/>
    <x v="0"/>
    <n v="9"/>
    <s v="Inefficient"/>
  </r>
  <r>
    <s v="PO-00652"/>
    <x v="0"/>
    <d v="2022-08-29T00:00:00"/>
    <d v="2022-09-06T00:00:00"/>
    <s v="Office Supplies"/>
    <s v="Pending"/>
    <n v="406"/>
    <n v="91.73"/>
    <n v="89.13"/>
    <m/>
    <s v="Yes"/>
    <d v="2022-09-06T00:00:00"/>
    <s v="Net 45"/>
    <n v="45"/>
    <d v="2022-10-21T00:00:00"/>
    <d v="2022-10-17T00:00:00"/>
    <n v="41"/>
    <x v="1"/>
    <x v="0"/>
    <n v="0"/>
    <s v="Efficient"/>
  </r>
  <r>
    <s v="PO-00653"/>
    <x v="2"/>
    <d v="2022-10-06T00:00:00"/>
    <d v="2022-10-18T00:00:00"/>
    <s v="Raw Materials"/>
    <s v="Partially Delivered"/>
    <n v="72"/>
    <n v="103"/>
    <n v="89.49"/>
    <n v="1"/>
    <s v="No"/>
    <d v="2022-10-18T00:00:00"/>
    <s v="Net 30"/>
    <n v="30"/>
    <d v="2022-11-17T00:00:00"/>
    <d v="2022-11-24T00:00:00"/>
    <n v="37"/>
    <x v="0"/>
    <x v="0"/>
    <n v="7"/>
    <s v="Inefficient"/>
  </r>
  <r>
    <s v="PO-00654"/>
    <x v="2"/>
    <d v="2022-12-10T00:00:00"/>
    <d v="2022-12-20T00:00:00"/>
    <s v="Office Supplies"/>
    <s v="Delivered"/>
    <n v="1835"/>
    <n v="83.5"/>
    <n v="82.36"/>
    <n v="85"/>
    <s v="No"/>
    <d v="2022-12-20T00:00:00"/>
    <s v="Net 15"/>
    <n v="15"/>
    <d v="2023-01-04T00:00:00"/>
    <d v="2023-01-09T00:00:00"/>
    <n v="20"/>
    <x v="0"/>
    <x v="1"/>
    <n v="5"/>
    <s v="Inefficient"/>
  </r>
  <r>
    <s v="PO-00655"/>
    <x v="1"/>
    <d v="2022-11-24T00:00:00"/>
    <d v="2022-12-10T00:00:00"/>
    <s v="Electronics"/>
    <s v="Pending"/>
    <n v="571"/>
    <n v="49.98"/>
    <n v="45.58"/>
    <m/>
    <s v="No"/>
    <d v="2022-12-10T00:00:00"/>
    <s v="Net 30"/>
    <n v="30"/>
    <d v="2023-01-09T00:00:00"/>
    <d v="2023-01-10T00:00:00"/>
    <n v="31"/>
    <x v="0"/>
    <x v="0"/>
    <n v="1"/>
    <s v="Inefficient"/>
  </r>
  <r>
    <s v="PO-00656"/>
    <x v="4"/>
    <d v="2023-07-08T00:00:00"/>
    <d v="2023-07-09T00:00:00"/>
    <s v="Packaging"/>
    <s v="Delivered"/>
    <n v="1831"/>
    <n v="52.24"/>
    <n v="50.44"/>
    <n v="60"/>
    <s v="Yes"/>
    <d v="2023-07-09T00:00:00"/>
    <s v="Net 30"/>
    <n v="30"/>
    <d v="2023-08-08T00:00:00"/>
    <d v="2023-08-14T00:00:00"/>
    <n v="36"/>
    <x v="0"/>
    <x v="0"/>
    <n v="6"/>
    <s v="Inefficient"/>
  </r>
  <r>
    <s v="PO-00657"/>
    <x v="3"/>
    <d v="2022-03-24T00:00:00"/>
    <d v="2022-04-07T00:00:00"/>
    <s v="Office Supplies"/>
    <s v="Pending"/>
    <n v="1910"/>
    <n v="77.150000000000006"/>
    <n v="68.489999999999995"/>
    <n v="170"/>
    <s v="Yes"/>
    <d v="2022-04-07T00:00:00"/>
    <s v="Net 15"/>
    <n v="15"/>
    <d v="2022-04-22T00:00:00"/>
    <d v="2022-04-30T00:00:00"/>
    <n v="23"/>
    <x v="0"/>
    <x v="1"/>
    <n v="8"/>
    <s v="Inefficient"/>
  </r>
  <r>
    <s v="PO-00658"/>
    <x v="2"/>
    <d v="2022-05-22T00:00:00"/>
    <d v="2022-05-31T00:00:00"/>
    <s v="Electronics"/>
    <s v="Partially Delivered"/>
    <n v="1173"/>
    <n v="32.119999999999997"/>
    <n v="29.18"/>
    <m/>
    <s v="Yes"/>
    <d v="2022-05-31T00:00:00"/>
    <s v="Net 45"/>
    <n v="45"/>
    <d v="2022-07-15T00:00:00"/>
    <d v="2022-07-21T00:00:00"/>
    <n v="51"/>
    <x v="0"/>
    <x v="0"/>
    <n v="6"/>
    <s v="Inefficient"/>
  </r>
  <r>
    <s v="PO-00659"/>
    <x v="4"/>
    <d v="2022-06-04T00:00:00"/>
    <d v="2022-06-17T00:00:00"/>
    <s v="Packaging"/>
    <s v="Partially Delivered"/>
    <n v="851"/>
    <n v="20.440000000000001"/>
    <n v="19.22"/>
    <n v="22"/>
    <s v="Yes"/>
    <d v="2022-06-17T00:00:00"/>
    <s v="Net 45"/>
    <n v="45"/>
    <d v="2022-08-01T00:00:00"/>
    <d v="2022-08-10T00:00:00"/>
    <n v="54"/>
    <x v="0"/>
    <x v="0"/>
    <n v="9"/>
    <s v="Inefficient"/>
  </r>
  <r>
    <s v="PO-00660"/>
    <x v="4"/>
    <d v="2022-08-25T00:00:00"/>
    <d v="2022-09-07T00:00:00"/>
    <s v="MRO"/>
    <s v="Cancelled"/>
    <n v="1253"/>
    <n v="43.38"/>
    <n v="38.01"/>
    <n v="34"/>
    <s v="Yes"/>
    <d v="2022-09-07T00:00:00"/>
    <s v="Net 45"/>
    <n v="45"/>
    <d v="2022-10-22T00:00:00"/>
    <d v="2022-10-22T00:00:00"/>
    <n v="45"/>
    <x v="1"/>
    <x v="0"/>
    <n v="0"/>
    <s v="Efficient"/>
  </r>
  <r>
    <s v="PO-00661"/>
    <x v="0"/>
    <d v="2023-01-28T00:00:00"/>
    <d v="2023-02-15T00:00:00"/>
    <s v="Electronics"/>
    <s v="Delivered"/>
    <n v="1296"/>
    <n v="38"/>
    <n v="33.42"/>
    <n v="33"/>
    <s v="Yes"/>
    <d v="2023-02-15T00:00:00"/>
    <s v="Net 15"/>
    <n v="15"/>
    <d v="2023-03-02T00:00:00"/>
    <d v="2023-03-03T00:00:00"/>
    <n v="16"/>
    <x v="0"/>
    <x v="1"/>
    <n v="1"/>
    <s v="Inefficient"/>
  </r>
  <r>
    <s v="PO-00662"/>
    <x v="3"/>
    <d v="2023-12-12T00:00:00"/>
    <d v="2023-12-30T00:00:00"/>
    <s v="Raw Materials"/>
    <s v="Delivered"/>
    <n v="1979"/>
    <n v="40.880000000000003"/>
    <n v="39.46"/>
    <n v="221"/>
    <s v="Yes"/>
    <d v="2023-12-30T00:00:00"/>
    <s v="Net 30"/>
    <n v="30"/>
    <d v="2024-01-29T00:00:00"/>
    <d v="2024-01-24T00:00:00"/>
    <n v="25"/>
    <x v="1"/>
    <x v="1"/>
    <n v="0"/>
    <s v="Efficient"/>
  </r>
  <r>
    <s v="PO-00663"/>
    <x v="2"/>
    <d v="2022-06-06T00:00:00"/>
    <d v="2022-06-19T00:00:00"/>
    <s v="Office Supplies"/>
    <s v="Delivered"/>
    <n v="811"/>
    <n v="31.8"/>
    <n v="30.33"/>
    <n v="58"/>
    <s v="Yes"/>
    <d v="2022-06-19T00:00:00"/>
    <s v="Net 45"/>
    <n v="45"/>
    <d v="2022-08-03T00:00:00"/>
    <d v="2022-08-23T00:00:00"/>
    <n v="65"/>
    <x v="0"/>
    <x v="2"/>
    <n v="20"/>
    <s v="Inefficient"/>
  </r>
  <r>
    <s v="PO-00664"/>
    <x v="0"/>
    <d v="2023-12-25T00:00:00"/>
    <d v="2024-01-12T00:00:00"/>
    <s v="Electronics"/>
    <s v="Delivered"/>
    <n v="1732"/>
    <n v="15.37"/>
    <n v="14.7"/>
    <n v="38"/>
    <s v="Yes"/>
    <d v="2024-01-12T00:00:00"/>
    <s v="Net 15"/>
    <n v="15"/>
    <d v="2024-01-27T00:00:00"/>
    <d v="2024-01-22T00:00:00"/>
    <n v="10"/>
    <x v="1"/>
    <x v="1"/>
    <n v="0"/>
    <s v="Efficient"/>
  </r>
  <r>
    <s v="PO-00665"/>
    <x v="3"/>
    <d v="2022-08-08T00:00:00"/>
    <d v="2022-08-28T00:00:00"/>
    <s v="Packaging"/>
    <s v="Delivered"/>
    <n v="491"/>
    <n v="12.01"/>
    <n v="11.67"/>
    <n v="47"/>
    <s v="Yes"/>
    <d v="2022-08-28T00:00:00"/>
    <s v="Net 15"/>
    <n v="15"/>
    <d v="2022-09-12T00:00:00"/>
    <d v="2022-09-23T00:00:00"/>
    <n v="26"/>
    <x v="0"/>
    <x v="1"/>
    <n v="11"/>
    <s v="Inefficient"/>
  </r>
  <r>
    <s v="PO-00666"/>
    <x v="2"/>
    <d v="2022-03-07T00:00:00"/>
    <d v="2022-03-11T00:00:00"/>
    <s v="Packaging"/>
    <s v="Cancelled"/>
    <n v="1681"/>
    <n v="99.88"/>
    <n v="96.38"/>
    <n v="90"/>
    <s v="Yes"/>
    <d v="2022-03-11T00:00:00"/>
    <s v="Net 15"/>
    <n v="15"/>
    <d v="2022-03-26T00:00:00"/>
    <d v="2022-03-21T00:00:00"/>
    <n v="10"/>
    <x v="1"/>
    <x v="1"/>
    <n v="0"/>
    <s v="Efficient"/>
  </r>
  <r>
    <s v="PO-00667"/>
    <x v="0"/>
    <d v="2023-03-01T00:00:00"/>
    <d v="2023-03-05T00:00:00"/>
    <s v="Raw Materials"/>
    <s v="Partially Delivered"/>
    <n v="818"/>
    <n v="51.89"/>
    <n v="47.85"/>
    <n v="12"/>
    <s v="Yes"/>
    <d v="2023-03-05T00:00:00"/>
    <s v="Net 30"/>
    <n v="30"/>
    <d v="2023-04-04T00:00:00"/>
    <d v="2023-04-16T00:00:00"/>
    <n v="42"/>
    <x v="0"/>
    <x v="0"/>
    <n v="12"/>
    <s v="Inefficient"/>
  </r>
  <r>
    <s v="PO-00668"/>
    <x v="3"/>
    <d v="2023-02-22T00:00:00"/>
    <d v="2023-03-05T00:00:00"/>
    <s v="Office Supplies"/>
    <s v="Delivered"/>
    <n v="1065"/>
    <n v="47.49"/>
    <n v="41.42"/>
    <n v="113"/>
    <s v="Yes"/>
    <d v="2023-03-05T00:00:00"/>
    <s v="Net 15"/>
    <n v="15"/>
    <d v="2023-03-20T00:00:00"/>
    <d v="2023-03-29T00:00:00"/>
    <n v="24"/>
    <x v="0"/>
    <x v="1"/>
    <n v="9"/>
    <s v="Inefficient"/>
  </r>
  <r>
    <s v="PO-00669"/>
    <x v="2"/>
    <d v="2022-12-05T00:00:00"/>
    <d v="2022-12-17T00:00:00"/>
    <s v="Packaging"/>
    <s v="Delivered"/>
    <n v="1398"/>
    <n v="75.08"/>
    <n v="67.09"/>
    <n v="57"/>
    <s v="Yes"/>
    <d v="2022-12-17T00:00:00"/>
    <s v="Net 15"/>
    <n v="15"/>
    <d v="2023-01-01T00:00:00"/>
    <d v="2023-01-04T00:00:00"/>
    <n v="18"/>
    <x v="0"/>
    <x v="1"/>
    <n v="3"/>
    <s v="Inefficient"/>
  </r>
  <r>
    <s v="PO-00670"/>
    <x v="3"/>
    <d v="2023-07-10T00:00:00"/>
    <d v="2023-07-17T00:00:00"/>
    <s v="Packaging"/>
    <s v="Delivered"/>
    <n v="565"/>
    <n v="32.31"/>
    <n v="29.76"/>
    <n v="60"/>
    <s v="Yes"/>
    <d v="2023-07-17T00:00:00"/>
    <s v="Net 30"/>
    <n v="30"/>
    <d v="2023-08-16T00:00:00"/>
    <d v="2023-08-28T00:00:00"/>
    <n v="42"/>
    <x v="0"/>
    <x v="0"/>
    <n v="12"/>
    <s v="Inefficient"/>
  </r>
  <r>
    <s v="PO-00671"/>
    <x v="4"/>
    <d v="2023-04-23T00:00:00"/>
    <d v="2023-05-06T00:00:00"/>
    <s v="Packaging"/>
    <s v="Pending"/>
    <n v="1089"/>
    <n v="102.66"/>
    <n v="89.21"/>
    <n v="33"/>
    <s v="Yes"/>
    <d v="2023-05-06T00:00:00"/>
    <s v="Net 15"/>
    <n v="15"/>
    <d v="2023-05-21T00:00:00"/>
    <d v="2023-05-23T00:00:00"/>
    <n v="17"/>
    <x v="0"/>
    <x v="1"/>
    <n v="2"/>
    <s v="Inefficient"/>
  </r>
  <r>
    <s v="PO-00672"/>
    <x v="1"/>
    <d v="2023-03-02T00:00:00"/>
    <d v="2023-03-04T00:00:00"/>
    <s v="Electronics"/>
    <s v="Delivered"/>
    <n v="841"/>
    <n v="86.43"/>
    <n v="83.77"/>
    <n v="125"/>
    <s v="No"/>
    <d v="2023-03-04T00:00:00"/>
    <s v="Net 45"/>
    <n v="45"/>
    <d v="2023-04-18T00:00:00"/>
    <d v="2023-04-24T00:00:00"/>
    <n v="51"/>
    <x v="0"/>
    <x v="0"/>
    <n v="6"/>
    <s v="Inefficient"/>
  </r>
  <r>
    <s v="PO-00673"/>
    <x v="1"/>
    <d v="2022-03-05T00:00:00"/>
    <d v="2022-03-16T00:00:00"/>
    <s v="Electronics"/>
    <s v="Delivered"/>
    <n v="385"/>
    <n v="18.23"/>
    <n v="17.739999999999998"/>
    <m/>
    <s v="Yes"/>
    <d v="2022-03-16T00:00:00"/>
    <s v="Net 30"/>
    <n v="30"/>
    <d v="2022-04-15T00:00:00"/>
    <d v="2022-04-21T00:00:00"/>
    <n v="36"/>
    <x v="0"/>
    <x v="0"/>
    <n v="6"/>
    <s v="Inefficient"/>
  </r>
  <r>
    <s v="PO-00674"/>
    <x v="4"/>
    <d v="2022-07-31T00:00:00"/>
    <d v="2022-08-17T00:00:00"/>
    <s v="Office Supplies"/>
    <s v="Delivered"/>
    <n v="1832"/>
    <n v="49.01"/>
    <n v="41.86"/>
    <n v="52"/>
    <s v="Yes"/>
    <d v="2022-08-17T00:00:00"/>
    <s v="Net 30"/>
    <n v="30"/>
    <d v="2022-09-16T00:00:00"/>
    <d v="2022-09-15T00:00:00"/>
    <n v="29"/>
    <x v="1"/>
    <x v="1"/>
    <n v="0"/>
    <s v="Efficient"/>
  </r>
  <r>
    <s v="PO-00675"/>
    <x v="3"/>
    <d v="2023-03-07T00:00:00"/>
    <d v="2023-03-27T00:00:00"/>
    <s v="Raw Materials"/>
    <s v="Delivered"/>
    <n v="307"/>
    <n v="95.36"/>
    <n v="83.63"/>
    <n v="29"/>
    <s v="Yes"/>
    <d v="2023-03-27T00:00:00"/>
    <s v="Net 30"/>
    <n v="30"/>
    <d v="2023-04-26T00:00:00"/>
    <d v="2023-05-12T00:00:00"/>
    <n v="46"/>
    <x v="0"/>
    <x v="0"/>
    <n v="16"/>
    <s v="Inefficient"/>
  </r>
  <r>
    <s v="PO-00676"/>
    <x v="4"/>
    <d v="2023-02-03T00:00:00"/>
    <d v="2023-02-08T00:00:00"/>
    <s v="Office Supplies"/>
    <s v="Delivered"/>
    <n v="546"/>
    <n v="101.2"/>
    <n v="97.82"/>
    <n v="21"/>
    <s v="Yes"/>
    <d v="2023-02-08T00:00:00"/>
    <s v="Net 45"/>
    <n v="45"/>
    <d v="2023-03-25T00:00:00"/>
    <d v="2023-03-24T00:00:00"/>
    <n v="44"/>
    <x v="1"/>
    <x v="0"/>
    <n v="0"/>
    <s v="Efficient"/>
  </r>
  <r>
    <s v="PO-00677"/>
    <x v="1"/>
    <d v="2023-08-22T00:00:00"/>
    <d v="2023-09-11T00:00:00"/>
    <s v="Raw Materials"/>
    <s v="Delivered"/>
    <n v="945"/>
    <n v="57.01"/>
    <n v="55.14"/>
    <n v="147"/>
    <s v="No"/>
    <d v="2023-09-11T00:00:00"/>
    <s v="Net 15"/>
    <n v="15"/>
    <d v="2023-09-26T00:00:00"/>
    <d v="2023-10-08T00:00:00"/>
    <n v="27"/>
    <x v="0"/>
    <x v="1"/>
    <n v="12"/>
    <s v="Inefficient"/>
  </r>
  <r>
    <s v="PO-00678"/>
    <x v="1"/>
    <d v="2023-12-14T00:00:00"/>
    <d v="2023-12-27T00:00:00"/>
    <s v="MRO"/>
    <s v="Pending"/>
    <n v="209"/>
    <n v="72.709999999999994"/>
    <n v="64.34"/>
    <n v="39"/>
    <s v="Yes"/>
    <d v="2023-12-27T00:00:00"/>
    <s v="Net 30"/>
    <n v="30"/>
    <d v="2024-01-26T00:00:00"/>
    <d v="2024-02-09T00:00:00"/>
    <n v="44"/>
    <x v="0"/>
    <x v="0"/>
    <n v="14"/>
    <s v="Inefficient"/>
  </r>
  <r>
    <s v="PO-00679"/>
    <x v="3"/>
    <d v="2022-01-21T00:00:00"/>
    <m/>
    <s v="Packaging"/>
    <s v="Delivered"/>
    <n v="1548"/>
    <n v="25.03"/>
    <n v="22.87"/>
    <m/>
    <s v="Yes"/>
    <d v="1899-12-30T00:00:00"/>
    <s v="Net 15"/>
    <n v="15"/>
    <d v="1900-01-14T00:00:00"/>
    <d v="1900-02-02T00:00:00"/>
    <n v="34"/>
    <x v="0"/>
    <x v="0"/>
    <n v="19"/>
    <s v="Inefficient"/>
  </r>
  <r>
    <s v="PO-00680"/>
    <x v="1"/>
    <d v="2023-08-13T00:00:00"/>
    <d v="2023-08-23T00:00:00"/>
    <s v="Raw Materials"/>
    <s v="Delivered"/>
    <n v="901"/>
    <n v="108.63"/>
    <n v="106.3"/>
    <n v="141"/>
    <s v="Yes"/>
    <d v="2023-08-23T00:00:00"/>
    <s v="Net 45"/>
    <n v="45"/>
    <d v="2023-10-07T00:00:00"/>
    <d v="2023-10-04T00:00:00"/>
    <n v="42"/>
    <x v="1"/>
    <x v="0"/>
    <n v="0"/>
    <s v="Efficient"/>
  </r>
  <r>
    <s v="PO-00681"/>
    <x v="4"/>
    <d v="2023-01-25T00:00:00"/>
    <d v="2023-02-11T00:00:00"/>
    <s v="Packaging"/>
    <s v="Delivered"/>
    <n v="1737"/>
    <n v="32.700000000000003"/>
    <n v="31.02"/>
    <n v="48"/>
    <s v="Yes"/>
    <d v="2023-02-11T00:00:00"/>
    <s v="Net 15"/>
    <n v="15"/>
    <d v="2023-02-26T00:00:00"/>
    <d v="2023-03-10T00:00:00"/>
    <n v="27"/>
    <x v="0"/>
    <x v="1"/>
    <n v="12"/>
    <s v="Inefficient"/>
  </r>
  <r>
    <s v="PO-00682"/>
    <x v="3"/>
    <d v="2023-05-04T00:00:00"/>
    <d v="2023-05-22T00:00:00"/>
    <s v="Raw Materials"/>
    <s v="Delivered"/>
    <n v="1981"/>
    <n v="102.43"/>
    <n v="90.99"/>
    <n v="204"/>
    <s v="Yes"/>
    <d v="2023-05-22T00:00:00"/>
    <s v="Net 45"/>
    <n v="45"/>
    <d v="2023-07-06T00:00:00"/>
    <d v="2023-07-26T00:00:00"/>
    <n v="65"/>
    <x v="0"/>
    <x v="2"/>
    <n v="20"/>
    <s v="Inefficient"/>
  </r>
  <r>
    <s v="PO-00683"/>
    <x v="4"/>
    <d v="2022-01-07T00:00:00"/>
    <d v="2022-01-26T00:00:00"/>
    <s v="MRO"/>
    <s v="Pending"/>
    <n v="739"/>
    <n v="68.47"/>
    <n v="66.09"/>
    <n v="19"/>
    <s v="Yes"/>
    <d v="2022-01-26T00:00:00"/>
    <s v="Net 15"/>
    <n v="15"/>
    <d v="2022-02-10T00:00:00"/>
    <d v="2022-02-07T00:00:00"/>
    <n v="12"/>
    <x v="1"/>
    <x v="1"/>
    <n v="0"/>
    <s v="Efficient"/>
  </r>
  <r>
    <s v="PO-00684"/>
    <x v="3"/>
    <d v="2022-12-27T00:00:00"/>
    <d v="2022-12-28T00:00:00"/>
    <s v="Raw Materials"/>
    <s v="Delivered"/>
    <n v="1748"/>
    <n v="68.25"/>
    <n v="62.84"/>
    <n v="171"/>
    <s v="Yes"/>
    <d v="2022-12-28T00:00:00"/>
    <s v="Net 45"/>
    <n v="45"/>
    <d v="2023-02-11T00:00:00"/>
    <d v="2023-02-10T00:00:00"/>
    <n v="44"/>
    <x v="1"/>
    <x v="0"/>
    <n v="0"/>
    <s v="Efficient"/>
  </r>
  <r>
    <s v="PO-00685"/>
    <x v="1"/>
    <d v="2022-11-02T00:00:00"/>
    <d v="2022-11-06T00:00:00"/>
    <s v="Office Supplies"/>
    <s v="Cancelled"/>
    <n v="429"/>
    <n v="58.95"/>
    <n v="55.35"/>
    <n v="59"/>
    <s v="No"/>
    <d v="2022-11-06T00:00:00"/>
    <s v="Net 45"/>
    <n v="45"/>
    <d v="2022-12-21T00:00:00"/>
    <d v="2023-01-10T00:00:00"/>
    <n v="65"/>
    <x v="0"/>
    <x v="2"/>
    <n v="20"/>
    <s v="Inefficient"/>
  </r>
  <r>
    <s v="PO-00686"/>
    <x v="2"/>
    <d v="2023-02-04T00:00:00"/>
    <m/>
    <s v="Electronics"/>
    <s v="Delivered"/>
    <n v="1618"/>
    <n v="32.76"/>
    <n v="28.41"/>
    <n v="62"/>
    <s v="Yes"/>
    <d v="1899-12-30T00:00:00"/>
    <s v="Net 15"/>
    <n v="15"/>
    <d v="1900-01-14T00:00:00"/>
    <d v="1900-01-24T00:00:00"/>
    <n v="25"/>
    <x v="0"/>
    <x v="1"/>
    <n v="10"/>
    <s v="Inefficient"/>
  </r>
  <r>
    <s v="PO-00687"/>
    <x v="3"/>
    <d v="2023-03-06T00:00:00"/>
    <d v="2023-03-07T00:00:00"/>
    <s v="Packaging"/>
    <s v="Delivered"/>
    <n v="1006"/>
    <n v="27.7"/>
    <n v="23.66"/>
    <n v="101"/>
    <s v="No"/>
    <d v="2023-03-07T00:00:00"/>
    <s v="Net 15"/>
    <n v="15"/>
    <d v="2023-03-22T00:00:00"/>
    <d v="2023-04-05T00:00:00"/>
    <n v="29"/>
    <x v="0"/>
    <x v="1"/>
    <n v="14"/>
    <s v="Inefficient"/>
  </r>
  <r>
    <s v="PO-00688"/>
    <x v="3"/>
    <d v="2023-07-06T00:00:00"/>
    <d v="2023-07-15T00:00:00"/>
    <s v="Electronics"/>
    <s v="Partially Delivered"/>
    <n v="740"/>
    <n v="32.53"/>
    <n v="29.35"/>
    <n v="84"/>
    <s v="Yes"/>
    <d v="2023-07-15T00:00:00"/>
    <s v="Net 30"/>
    <n v="30"/>
    <d v="2023-08-14T00:00:00"/>
    <d v="2023-09-01T00:00:00"/>
    <n v="48"/>
    <x v="0"/>
    <x v="0"/>
    <n v="18"/>
    <s v="Inefficient"/>
  </r>
  <r>
    <s v="PO-00689"/>
    <x v="2"/>
    <d v="2023-07-14T00:00:00"/>
    <m/>
    <s v="Raw Materials"/>
    <s v="Delivered"/>
    <n v="1500"/>
    <n v="29.19"/>
    <n v="27.24"/>
    <n v="72"/>
    <s v="Yes"/>
    <d v="1899-12-30T00:00:00"/>
    <s v="Net 30"/>
    <n v="30"/>
    <d v="1900-01-29T00:00:00"/>
    <d v="1900-02-04T00:00:00"/>
    <n v="36"/>
    <x v="0"/>
    <x v="0"/>
    <n v="6"/>
    <s v="Inefficient"/>
  </r>
  <r>
    <s v="PO-00690"/>
    <x v="1"/>
    <d v="2023-09-10T00:00:00"/>
    <d v="2023-09-29T00:00:00"/>
    <s v="Office Supplies"/>
    <s v="Cancelled"/>
    <n v="1686"/>
    <n v="88.18"/>
    <n v="77.150000000000006"/>
    <m/>
    <s v="Yes"/>
    <d v="2023-09-29T00:00:00"/>
    <s v="Net 30"/>
    <n v="30"/>
    <d v="2023-10-29T00:00:00"/>
    <d v="2023-10-27T00:00:00"/>
    <n v="28"/>
    <x v="1"/>
    <x v="1"/>
    <n v="0"/>
    <s v="Efficient"/>
  </r>
  <r>
    <s v="PO-00691"/>
    <x v="4"/>
    <d v="2022-08-14T00:00:00"/>
    <d v="2022-08-16T00:00:00"/>
    <s v="Raw Materials"/>
    <s v="Cancelled"/>
    <n v="1341"/>
    <n v="42.96"/>
    <n v="41.75"/>
    <n v="39"/>
    <s v="Yes"/>
    <d v="2022-08-16T00:00:00"/>
    <s v="Net 45"/>
    <n v="45"/>
    <d v="2022-09-30T00:00:00"/>
    <d v="2022-09-30T00:00:00"/>
    <n v="45"/>
    <x v="1"/>
    <x v="0"/>
    <n v="0"/>
    <s v="Efficient"/>
  </r>
  <r>
    <s v="PO-00692"/>
    <x v="0"/>
    <d v="2023-05-15T00:00:00"/>
    <d v="2023-05-21T00:00:00"/>
    <s v="MRO"/>
    <s v="Cancelled"/>
    <n v="1908"/>
    <n v="16.420000000000002"/>
    <n v="15.31"/>
    <n v="36"/>
    <s v="Yes"/>
    <d v="2023-05-21T00:00:00"/>
    <s v="Net 45"/>
    <n v="45"/>
    <d v="2023-07-05T00:00:00"/>
    <d v="2023-07-13T00:00:00"/>
    <n v="53"/>
    <x v="0"/>
    <x v="0"/>
    <n v="8"/>
    <s v="Inefficient"/>
  </r>
  <r>
    <s v="PO-00693"/>
    <x v="2"/>
    <d v="2022-08-13T00:00:00"/>
    <d v="2022-09-02T00:00:00"/>
    <s v="MRO"/>
    <s v="Partially Delivered"/>
    <n v="1650"/>
    <n v="100.62"/>
    <n v="90.45"/>
    <n v="85"/>
    <s v="Yes"/>
    <d v="2022-09-02T00:00:00"/>
    <s v="Net 45"/>
    <n v="45"/>
    <d v="2022-10-17T00:00:00"/>
    <d v="2022-10-21T00:00:00"/>
    <n v="49"/>
    <x v="0"/>
    <x v="0"/>
    <n v="4"/>
    <s v="Inefficient"/>
  </r>
  <r>
    <s v="PO-00694"/>
    <x v="0"/>
    <d v="2022-10-07T00:00:00"/>
    <d v="2022-10-20T00:00:00"/>
    <s v="MRO"/>
    <s v="Delivered"/>
    <n v="1490"/>
    <n v="93.57"/>
    <n v="81.680000000000007"/>
    <n v="29"/>
    <s v="Yes"/>
    <d v="2022-10-20T00:00:00"/>
    <s v="Net 30"/>
    <n v="30"/>
    <d v="2022-11-19T00:00:00"/>
    <d v="2022-12-07T00:00:00"/>
    <n v="48"/>
    <x v="0"/>
    <x v="0"/>
    <n v="18"/>
    <s v="Inefficient"/>
  </r>
  <r>
    <s v="PO-00695"/>
    <x v="1"/>
    <d v="2023-03-23T00:00:00"/>
    <d v="2023-03-31T00:00:00"/>
    <s v="Raw Materials"/>
    <s v="Delivered"/>
    <n v="1241"/>
    <n v="100.04"/>
    <n v="97.56"/>
    <n v="187"/>
    <s v="Yes"/>
    <d v="2023-03-31T00:00:00"/>
    <s v="Net 30"/>
    <n v="30"/>
    <d v="2023-04-30T00:00:00"/>
    <d v="2023-05-11T00:00:00"/>
    <n v="41"/>
    <x v="0"/>
    <x v="0"/>
    <n v="11"/>
    <s v="Inefficient"/>
  </r>
  <r>
    <s v="PO-00696"/>
    <x v="3"/>
    <d v="2023-05-13T00:00:00"/>
    <d v="2023-05-17T00:00:00"/>
    <s v="MRO"/>
    <s v="Delivered"/>
    <n v="1915"/>
    <n v="107.51"/>
    <n v="102.66"/>
    <n v="184"/>
    <s v="Yes"/>
    <d v="2023-05-17T00:00:00"/>
    <s v="Net 30"/>
    <n v="30"/>
    <d v="2023-06-16T00:00:00"/>
    <d v="2023-06-16T00:00:00"/>
    <n v="30"/>
    <x v="1"/>
    <x v="1"/>
    <n v="0"/>
    <s v="Efficient"/>
  </r>
  <r>
    <s v="PO-00697"/>
    <x v="3"/>
    <d v="2022-01-30T00:00:00"/>
    <d v="2022-02-14T00:00:00"/>
    <s v="Raw Materials"/>
    <s v="Delivered"/>
    <n v="1116"/>
    <n v="25.65"/>
    <n v="24.28"/>
    <n v="121"/>
    <s v="Yes"/>
    <d v="2022-02-14T00:00:00"/>
    <s v="Net 15"/>
    <n v="15"/>
    <d v="2022-03-01T00:00:00"/>
    <d v="2022-02-27T00:00:00"/>
    <n v="13"/>
    <x v="1"/>
    <x v="1"/>
    <n v="0"/>
    <s v="Efficient"/>
  </r>
  <r>
    <s v="PO-00698"/>
    <x v="1"/>
    <d v="2023-02-03T00:00:00"/>
    <d v="2023-02-08T00:00:00"/>
    <s v="Raw Materials"/>
    <s v="Delivered"/>
    <n v="1629"/>
    <n v="48.63"/>
    <n v="43.28"/>
    <n v="260"/>
    <s v="Yes"/>
    <d v="2023-02-08T00:00:00"/>
    <s v="Net 45"/>
    <n v="45"/>
    <d v="2023-03-25T00:00:00"/>
    <d v="2023-03-22T00:00:00"/>
    <n v="42"/>
    <x v="1"/>
    <x v="0"/>
    <n v="0"/>
    <s v="Efficient"/>
  </r>
  <r>
    <s v="PO-00699"/>
    <x v="4"/>
    <d v="2022-12-11T00:00:00"/>
    <d v="2022-12-18T00:00:00"/>
    <s v="Office Supplies"/>
    <s v="Delivered"/>
    <n v="334"/>
    <n v="82.54"/>
    <n v="74.63"/>
    <m/>
    <s v="Yes"/>
    <d v="2022-12-18T00:00:00"/>
    <s v="Net 15"/>
    <n v="15"/>
    <d v="2023-01-02T00:00:00"/>
    <d v="2023-01-21T00:00:00"/>
    <n v="34"/>
    <x v="0"/>
    <x v="0"/>
    <n v="19"/>
    <s v="Inefficient"/>
  </r>
  <r>
    <s v="PO-00700"/>
    <x v="4"/>
    <d v="2023-11-16T00:00:00"/>
    <d v="2023-12-06T00:00:00"/>
    <s v="Packaging"/>
    <s v="Delivered"/>
    <n v="446"/>
    <n v="80.63"/>
    <n v="70.37"/>
    <m/>
    <s v="Yes"/>
    <d v="2023-12-06T00:00:00"/>
    <s v="Net 15"/>
    <n v="15"/>
    <d v="2023-12-21T00:00:00"/>
    <d v="2024-01-01T00:00:00"/>
    <n v="26"/>
    <x v="0"/>
    <x v="1"/>
    <n v="11"/>
    <s v="Inefficient"/>
  </r>
  <r>
    <s v="PO-00701"/>
    <x v="1"/>
    <d v="2023-11-27T00:00:00"/>
    <m/>
    <s v="Electronics"/>
    <s v="Delivered"/>
    <n v="61"/>
    <n v="26.47"/>
    <n v="24.62"/>
    <n v="6"/>
    <s v="Yes"/>
    <d v="1899-12-30T00:00:00"/>
    <s v="Net 45"/>
    <n v="45"/>
    <d v="1900-02-13T00:00:00"/>
    <d v="1900-02-22T00:00:00"/>
    <n v="54"/>
    <x v="0"/>
    <x v="0"/>
    <n v="9"/>
    <s v="Inefficient"/>
  </r>
  <r>
    <s v="PO-00702"/>
    <x v="1"/>
    <d v="2023-02-19T00:00:00"/>
    <d v="2023-02-21T00:00:00"/>
    <s v="Packaging"/>
    <s v="Delivered"/>
    <n v="1680"/>
    <n v="88.85"/>
    <n v="87.53"/>
    <m/>
    <s v="Yes"/>
    <d v="2023-02-21T00:00:00"/>
    <s v="Net 15"/>
    <n v="15"/>
    <d v="2023-03-08T00:00:00"/>
    <d v="2023-03-15T00:00:00"/>
    <n v="22"/>
    <x v="0"/>
    <x v="1"/>
    <n v="7"/>
    <s v="Inefficient"/>
  </r>
  <r>
    <s v="PO-00703"/>
    <x v="1"/>
    <d v="2022-06-19T00:00:00"/>
    <d v="2022-07-06T00:00:00"/>
    <s v="Electronics"/>
    <s v="Delivered"/>
    <n v="1375"/>
    <n v="30.95"/>
    <n v="30.02"/>
    <n v="223"/>
    <s v="Yes"/>
    <d v="2022-07-06T00:00:00"/>
    <s v="Net 45"/>
    <n v="45"/>
    <d v="2022-08-20T00:00:00"/>
    <d v="2022-08-24T00:00:00"/>
    <n v="49"/>
    <x v="0"/>
    <x v="0"/>
    <n v="4"/>
    <s v="Inefficient"/>
  </r>
  <r>
    <s v="PO-00704"/>
    <x v="1"/>
    <d v="2023-04-24T00:00:00"/>
    <d v="2023-05-05T00:00:00"/>
    <s v="Electronics"/>
    <s v="Partially Delivered"/>
    <n v="1971"/>
    <n v="32.4"/>
    <n v="30.48"/>
    <n v="321"/>
    <s v="Yes"/>
    <d v="2023-05-05T00:00:00"/>
    <s v="Net 15"/>
    <n v="15"/>
    <d v="2023-05-20T00:00:00"/>
    <d v="2023-05-15T00:00:00"/>
    <n v="10"/>
    <x v="1"/>
    <x v="1"/>
    <n v="0"/>
    <s v="Efficient"/>
  </r>
  <r>
    <s v="PO-00705"/>
    <x v="1"/>
    <d v="2022-05-11T00:00:00"/>
    <m/>
    <s v="Raw Materials"/>
    <s v="Pending"/>
    <n v="1326"/>
    <n v="59.49"/>
    <n v="56.21"/>
    <m/>
    <s v="Yes"/>
    <d v="1899-12-30T00:00:00"/>
    <s v="Net 15"/>
    <n v="15"/>
    <d v="1900-01-14T00:00:00"/>
    <d v="1900-01-24T00:00:00"/>
    <n v="25"/>
    <x v="0"/>
    <x v="1"/>
    <n v="10"/>
    <s v="Inefficient"/>
  </r>
  <r>
    <s v="PO-00706"/>
    <x v="1"/>
    <d v="2023-09-30T00:00:00"/>
    <d v="2023-10-13T00:00:00"/>
    <s v="MRO"/>
    <s v="Cancelled"/>
    <n v="548"/>
    <n v="69.7"/>
    <n v="61.87"/>
    <n v="90"/>
    <s v="Yes"/>
    <d v="2023-10-13T00:00:00"/>
    <s v="Net 30"/>
    <n v="30"/>
    <d v="2023-11-12T00:00:00"/>
    <d v="2023-12-01T00:00:00"/>
    <n v="49"/>
    <x v="0"/>
    <x v="0"/>
    <n v="19"/>
    <s v="Inefficient"/>
  </r>
  <r>
    <s v="PO-00707"/>
    <x v="3"/>
    <d v="2023-07-01T00:00:00"/>
    <d v="2023-07-07T00:00:00"/>
    <s v="MRO"/>
    <s v="Delivered"/>
    <n v="803"/>
    <n v="67.81"/>
    <n v="61.53"/>
    <n v="78"/>
    <s v="Yes"/>
    <d v="2023-07-07T00:00:00"/>
    <s v="Net 15"/>
    <n v="15"/>
    <d v="2023-07-22T00:00:00"/>
    <d v="2023-08-10T00:00:00"/>
    <n v="34"/>
    <x v="0"/>
    <x v="0"/>
    <n v="19"/>
    <s v="Inefficient"/>
  </r>
  <r>
    <s v="PO-00708"/>
    <x v="0"/>
    <d v="2022-01-28T00:00:00"/>
    <d v="2022-02-15T00:00:00"/>
    <s v="MRO"/>
    <s v="Delivered"/>
    <n v="84"/>
    <n v="18.23"/>
    <n v="15.55"/>
    <n v="0"/>
    <s v="Yes"/>
    <d v="2022-02-15T00:00:00"/>
    <s v="Net 45"/>
    <n v="45"/>
    <d v="2022-04-01T00:00:00"/>
    <d v="2022-04-17T00:00:00"/>
    <n v="61"/>
    <x v="0"/>
    <x v="2"/>
    <n v="16"/>
    <s v="Inefficient"/>
  </r>
  <r>
    <s v="PO-00709"/>
    <x v="4"/>
    <d v="2023-02-08T00:00:00"/>
    <d v="2023-02-20T00:00:00"/>
    <s v="Packaging"/>
    <s v="Delivered"/>
    <n v="776"/>
    <n v="94.75"/>
    <n v="90.89"/>
    <n v="19"/>
    <s v="Yes"/>
    <d v="2023-02-20T00:00:00"/>
    <s v="Net 15"/>
    <n v="15"/>
    <d v="2023-03-07T00:00:00"/>
    <d v="2023-03-23T00:00:00"/>
    <n v="31"/>
    <x v="0"/>
    <x v="0"/>
    <n v="16"/>
    <s v="Inefficient"/>
  </r>
  <r>
    <s v="PO-00710"/>
    <x v="0"/>
    <d v="2023-08-30T00:00:00"/>
    <d v="2023-09-08T00:00:00"/>
    <s v="MRO"/>
    <s v="Delivered"/>
    <n v="898"/>
    <n v="37.119999999999997"/>
    <n v="35.54"/>
    <n v="18"/>
    <s v="No"/>
    <d v="2023-09-08T00:00:00"/>
    <s v="Net 45"/>
    <n v="45"/>
    <d v="2023-10-23T00:00:00"/>
    <d v="2023-11-06T00:00:00"/>
    <n v="59"/>
    <x v="0"/>
    <x v="0"/>
    <n v="14"/>
    <s v="Inefficient"/>
  </r>
  <r>
    <s v="PO-00711"/>
    <x v="3"/>
    <d v="2023-08-01T00:00:00"/>
    <d v="2023-08-08T00:00:00"/>
    <s v="Office Supplies"/>
    <s v="Cancelled"/>
    <n v="139"/>
    <n v="23.71"/>
    <n v="20.18"/>
    <n v="14"/>
    <s v="Yes"/>
    <d v="2023-08-08T00:00:00"/>
    <s v="Net 45"/>
    <n v="45"/>
    <d v="2023-09-22T00:00:00"/>
    <d v="2023-10-02T00:00:00"/>
    <n v="55"/>
    <x v="0"/>
    <x v="0"/>
    <n v="10"/>
    <s v="Inefficient"/>
  </r>
  <r>
    <s v="PO-00712"/>
    <x v="2"/>
    <d v="2023-11-10T00:00:00"/>
    <m/>
    <s v="Raw Materials"/>
    <s v="Delivered"/>
    <n v="825"/>
    <n v="99.89"/>
    <n v="97.65"/>
    <n v="30"/>
    <s v="Yes"/>
    <d v="1899-12-30T00:00:00"/>
    <s v="Net 15"/>
    <n v="15"/>
    <d v="1900-01-14T00:00:00"/>
    <d v="1900-01-19T00:00:00"/>
    <n v="20"/>
    <x v="0"/>
    <x v="1"/>
    <n v="5"/>
    <s v="Inefficient"/>
  </r>
  <r>
    <s v="PO-00713"/>
    <x v="0"/>
    <d v="2022-01-28T00:00:00"/>
    <d v="2022-02-07T00:00:00"/>
    <s v="MRO"/>
    <s v="Delivered"/>
    <n v="654"/>
    <n v="96.01"/>
    <n v="90.31"/>
    <n v="10"/>
    <s v="Yes"/>
    <d v="2022-02-07T00:00:00"/>
    <s v="Net 45"/>
    <n v="45"/>
    <d v="2022-03-24T00:00:00"/>
    <d v="2022-03-21T00:00:00"/>
    <n v="42"/>
    <x v="1"/>
    <x v="0"/>
    <n v="0"/>
    <s v="Efficient"/>
  </r>
  <r>
    <s v="PO-00714"/>
    <x v="2"/>
    <d v="2022-03-27T00:00:00"/>
    <d v="2022-04-06T00:00:00"/>
    <s v="MRO"/>
    <s v="Delivered"/>
    <n v="1995"/>
    <n v="88.47"/>
    <n v="82.65"/>
    <n v="87"/>
    <s v="No"/>
    <d v="2022-04-06T00:00:00"/>
    <s v="Net 15"/>
    <n v="15"/>
    <d v="2022-04-21T00:00:00"/>
    <d v="2022-04-21T00:00:00"/>
    <n v="15"/>
    <x v="1"/>
    <x v="1"/>
    <n v="0"/>
    <s v="Efficient"/>
  </r>
  <r>
    <s v="PO-00715"/>
    <x v="3"/>
    <d v="2023-10-21T00:00:00"/>
    <d v="2023-10-28T00:00:00"/>
    <s v="MRO"/>
    <s v="Delivered"/>
    <n v="1019"/>
    <n v="91.56"/>
    <n v="77.930000000000007"/>
    <n v="111"/>
    <s v="No"/>
    <d v="2023-10-28T00:00:00"/>
    <s v="Net 30"/>
    <n v="30"/>
    <d v="2023-11-27T00:00:00"/>
    <d v="2023-11-29T00:00:00"/>
    <n v="32"/>
    <x v="0"/>
    <x v="0"/>
    <n v="2"/>
    <s v="Inefficient"/>
  </r>
  <r>
    <s v="PO-00716"/>
    <x v="4"/>
    <d v="2023-03-15T00:00:00"/>
    <d v="2023-03-31T00:00:00"/>
    <s v="Packaging"/>
    <s v="Pending"/>
    <n v="1675"/>
    <n v="73.8"/>
    <n v="65.34"/>
    <n v="42"/>
    <s v="Yes"/>
    <d v="2023-03-31T00:00:00"/>
    <s v="Net 30"/>
    <n v="30"/>
    <d v="2023-04-30T00:00:00"/>
    <d v="2023-04-28T00:00:00"/>
    <n v="28"/>
    <x v="1"/>
    <x v="1"/>
    <n v="0"/>
    <s v="Efficient"/>
  </r>
  <r>
    <s v="PO-00717"/>
    <x v="2"/>
    <d v="2022-05-19T00:00:00"/>
    <d v="2022-05-31T00:00:00"/>
    <s v="Raw Materials"/>
    <s v="Pending"/>
    <n v="1071"/>
    <n v="60.77"/>
    <n v="58.5"/>
    <m/>
    <s v="Yes"/>
    <d v="2022-05-31T00:00:00"/>
    <s v="Net 15"/>
    <n v="15"/>
    <d v="2022-06-15T00:00:00"/>
    <d v="2022-06-28T00:00:00"/>
    <n v="28"/>
    <x v="0"/>
    <x v="1"/>
    <n v="13"/>
    <s v="Inefficient"/>
  </r>
  <r>
    <s v="PO-00718"/>
    <x v="3"/>
    <d v="2023-04-18T00:00:00"/>
    <d v="2023-04-27T00:00:00"/>
    <s v="Office Supplies"/>
    <s v="Delivered"/>
    <n v="467"/>
    <n v="19.170000000000002"/>
    <n v="17.11"/>
    <n v="49"/>
    <s v="Yes"/>
    <d v="2023-04-27T00:00:00"/>
    <s v="Net 15"/>
    <n v="15"/>
    <d v="2023-05-12T00:00:00"/>
    <d v="2023-05-27T00:00:00"/>
    <n v="30"/>
    <x v="0"/>
    <x v="1"/>
    <n v="15"/>
    <s v="Inefficient"/>
  </r>
  <r>
    <s v="PO-00719"/>
    <x v="1"/>
    <d v="2022-07-06T00:00:00"/>
    <d v="2022-07-25T00:00:00"/>
    <s v="MRO"/>
    <s v="Pending"/>
    <n v="164"/>
    <n v="48.16"/>
    <n v="47.46"/>
    <n v="27"/>
    <s v="Yes"/>
    <d v="2022-07-25T00:00:00"/>
    <s v="Net 30"/>
    <n v="30"/>
    <d v="2022-08-24T00:00:00"/>
    <d v="2022-08-29T00:00:00"/>
    <n v="35"/>
    <x v="0"/>
    <x v="0"/>
    <n v="5"/>
    <s v="Inefficient"/>
  </r>
  <r>
    <s v="PO-00720"/>
    <x v="4"/>
    <d v="2022-02-21T00:00:00"/>
    <d v="2022-03-06T00:00:00"/>
    <s v="Electronics"/>
    <s v="Cancelled"/>
    <n v="666"/>
    <n v="43.76"/>
    <n v="41.13"/>
    <n v="18"/>
    <s v="Yes"/>
    <d v="2022-03-06T00:00:00"/>
    <s v="Net 15"/>
    <n v="15"/>
    <d v="2022-03-21T00:00:00"/>
    <d v="2022-04-09T00:00:00"/>
    <n v="34"/>
    <x v="0"/>
    <x v="0"/>
    <n v="19"/>
    <s v="Inefficient"/>
  </r>
  <r>
    <s v="PO-00721"/>
    <x v="1"/>
    <d v="2022-09-24T00:00:00"/>
    <d v="2022-10-07T00:00:00"/>
    <s v="Packaging"/>
    <s v="Partially Delivered"/>
    <n v="1976"/>
    <n v="34.71"/>
    <n v="31.56"/>
    <n v="286"/>
    <s v="No"/>
    <d v="2022-10-07T00:00:00"/>
    <s v="Net 45"/>
    <n v="45"/>
    <d v="2022-11-21T00:00:00"/>
    <d v="2022-12-05T00:00:00"/>
    <n v="59"/>
    <x v="0"/>
    <x v="0"/>
    <n v="14"/>
    <s v="Inefficient"/>
  </r>
  <r>
    <s v="PO-00722"/>
    <x v="4"/>
    <d v="2023-01-24T00:00:00"/>
    <d v="2023-01-29T00:00:00"/>
    <s v="MRO"/>
    <s v="Delivered"/>
    <n v="1269"/>
    <n v="79.61"/>
    <n v="71.86"/>
    <n v="47"/>
    <s v="Yes"/>
    <d v="2023-01-29T00:00:00"/>
    <s v="Net 15"/>
    <n v="15"/>
    <d v="2023-02-13T00:00:00"/>
    <d v="2023-02-23T00:00:00"/>
    <n v="25"/>
    <x v="0"/>
    <x v="1"/>
    <n v="10"/>
    <s v="Inefficient"/>
  </r>
  <r>
    <s v="PO-00723"/>
    <x v="4"/>
    <d v="2022-12-02T00:00:00"/>
    <d v="2022-12-12T00:00:00"/>
    <s v="MRO"/>
    <s v="Delivered"/>
    <n v="875"/>
    <n v="57.63"/>
    <n v="51.8"/>
    <n v="16"/>
    <s v="Yes"/>
    <d v="2022-12-12T00:00:00"/>
    <s v="Net 30"/>
    <n v="30"/>
    <d v="2023-01-11T00:00:00"/>
    <d v="2023-01-08T00:00:00"/>
    <n v="27"/>
    <x v="1"/>
    <x v="1"/>
    <n v="0"/>
    <s v="Efficient"/>
  </r>
  <r>
    <s v="PO-00724"/>
    <x v="0"/>
    <d v="2022-08-05T00:00:00"/>
    <m/>
    <s v="Packaging"/>
    <s v="Partially Delivered"/>
    <n v="1574"/>
    <n v="17.899999999999999"/>
    <n v="15.85"/>
    <n v="31"/>
    <s v="Yes"/>
    <d v="1899-12-30T00:00:00"/>
    <s v="Net 30"/>
    <n v="30"/>
    <d v="1900-01-29T00:00:00"/>
    <d v="1900-01-29T00:00:00"/>
    <n v="30"/>
    <x v="1"/>
    <x v="1"/>
    <n v="0"/>
    <s v="Efficient"/>
  </r>
  <r>
    <s v="PO-00725"/>
    <x v="4"/>
    <d v="2023-04-11T00:00:00"/>
    <d v="2023-04-26T00:00:00"/>
    <s v="Office Supplies"/>
    <s v="Partially Delivered"/>
    <n v="1699"/>
    <n v="32.049999999999997"/>
    <n v="29.34"/>
    <n v="69"/>
    <s v="Yes"/>
    <d v="2023-04-26T00:00:00"/>
    <s v="Net 45"/>
    <n v="45"/>
    <d v="2023-06-10T00:00:00"/>
    <d v="2023-06-09T00:00:00"/>
    <n v="44"/>
    <x v="1"/>
    <x v="0"/>
    <n v="0"/>
    <s v="Efficient"/>
  </r>
  <r>
    <s v="PO-00726"/>
    <x v="0"/>
    <d v="2022-12-01T00:00:00"/>
    <d v="2022-12-17T00:00:00"/>
    <s v="Electronics"/>
    <s v="Delivered"/>
    <n v="1566"/>
    <n v="75.430000000000007"/>
    <n v="71.27"/>
    <n v="27"/>
    <s v="Yes"/>
    <d v="2022-12-17T00:00:00"/>
    <s v="Net 45"/>
    <n v="45"/>
    <d v="2023-01-31T00:00:00"/>
    <d v="2023-01-31T00:00:00"/>
    <n v="45"/>
    <x v="1"/>
    <x v="0"/>
    <n v="0"/>
    <s v="Efficient"/>
  </r>
  <r>
    <s v="PO-00727"/>
    <x v="2"/>
    <d v="2022-12-12T00:00:00"/>
    <d v="2022-12-30T00:00:00"/>
    <s v="Electronics"/>
    <s v="Delivered"/>
    <n v="1148"/>
    <n v="17.78"/>
    <n v="17.16"/>
    <n v="61"/>
    <s v="Yes"/>
    <d v="2022-12-30T00:00:00"/>
    <s v="Net 45"/>
    <n v="45"/>
    <d v="2023-02-13T00:00:00"/>
    <d v="2023-02-22T00:00:00"/>
    <n v="54"/>
    <x v="0"/>
    <x v="0"/>
    <n v="9"/>
    <s v="Inefficient"/>
  </r>
  <r>
    <s v="PO-00728"/>
    <x v="4"/>
    <d v="2023-01-24T00:00:00"/>
    <d v="2023-02-11T00:00:00"/>
    <s v="Office Supplies"/>
    <s v="Delivered"/>
    <n v="462"/>
    <n v="91.81"/>
    <n v="83.14"/>
    <n v="11"/>
    <s v="Yes"/>
    <d v="2023-02-11T00:00:00"/>
    <s v="Net 15"/>
    <n v="15"/>
    <d v="2023-02-26T00:00:00"/>
    <d v="2023-03-02T00:00:00"/>
    <n v="19"/>
    <x v="0"/>
    <x v="1"/>
    <n v="4"/>
    <s v="Inefficient"/>
  </r>
  <r>
    <s v="PO-00729"/>
    <x v="2"/>
    <d v="2022-10-12T00:00:00"/>
    <d v="2022-10-17T00:00:00"/>
    <s v="Packaging"/>
    <s v="Delivered"/>
    <n v="1449"/>
    <n v="57.02"/>
    <n v="49.28"/>
    <n v="71"/>
    <s v="Yes"/>
    <d v="2022-10-17T00:00:00"/>
    <s v="Net 15"/>
    <n v="15"/>
    <d v="2022-11-01T00:00:00"/>
    <d v="2022-10-27T00:00:00"/>
    <n v="10"/>
    <x v="1"/>
    <x v="1"/>
    <n v="0"/>
    <s v="Efficient"/>
  </r>
  <r>
    <s v="PO-00730"/>
    <x v="4"/>
    <d v="2023-03-08T00:00:00"/>
    <d v="2023-03-27T00:00:00"/>
    <s v="MRO"/>
    <s v="Delivered"/>
    <n v="1493"/>
    <n v="56.98"/>
    <n v="52.51"/>
    <n v="43"/>
    <s v="Yes"/>
    <d v="2023-03-27T00:00:00"/>
    <s v="Net 45"/>
    <n v="45"/>
    <d v="2023-05-11T00:00:00"/>
    <d v="2023-05-15T00:00:00"/>
    <n v="49"/>
    <x v="0"/>
    <x v="0"/>
    <n v="4"/>
    <s v="Inefficient"/>
  </r>
  <r>
    <s v="PO-00731"/>
    <x v="0"/>
    <d v="2022-09-16T00:00:00"/>
    <d v="2022-09-18T00:00:00"/>
    <s v="Office Supplies"/>
    <s v="Delivered"/>
    <n v="778"/>
    <n v="65.849999999999994"/>
    <n v="62.08"/>
    <m/>
    <s v="No"/>
    <d v="2022-09-18T00:00:00"/>
    <s v="Net 30"/>
    <n v="30"/>
    <d v="2022-10-18T00:00:00"/>
    <d v="2022-10-18T00:00:00"/>
    <n v="30"/>
    <x v="1"/>
    <x v="1"/>
    <n v="0"/>
    <s v="Efficient"/>
  </r>
  <r>
    <s v="PO-00732"/>
    <x v="1"/>
    <d v="2022-03-25T00:00:00"/>
    <d v="2022-04-11T00:00:00"/>
    <s v="Packaging"/>
    <s v="Partially Delivered"/>
    <n v="1350"/>
    <n v="85.06"/>
    <n v="82.34"/>
    <m/>
    <s v="No"/>
    <d v="2022-04-11T00:00:00"/>
    <s v="Net 30"/>
    <n v="30"/>
    <d v="2022-05-11T00:00:00"/>
    <d v="2022-05-20T00:00:00"/>
    <n v="39"/>
    <x v="0"/>
    <x v="0"/>
    <n v="9"/>
    <s v="Inefficient"/>
  </r>
  <r>
    <s v="PO-00733"/>
    <x v="4"/>
    <d v="2023-04-27T00:00:00"/>
    <d v="2023-05-05T00:00:00"/>
    <s v="Packaging"/>
    <s v="Delivered"/>
    <n v="1070"/>
    <n v="44.4"/>
    <n v="40.07"/>
    <n v="26"/>
    <s v="Yes"/>
    <d v="2023-05-05T00:00:00"/>
    <s v="Net 15"/>
    <n v="15"/>
    <d v="2023-05-20T00:00:00"/>
    <d v="2023-06-01T00:00:00"/>
    <n v="27"/>
    <x v="0"/>
    <x v="1"/>
    <n v="12"/>
    <s v="Inefficient"/>
  </r>
  <r>
    <s v="PO-00734"/>
    <x v="3"/>
    <d v="2022-01-20T00:00:00"/>
    <d v="2022-02-03T00:00:00"/>
    <s v="Packaging"/>
    <s v="Pending"/>
    <n v="810"/>
    <n v="71.02"/>
    <n v="66.8"/>
    <n v="73"/>
    <s v="Yes"/>
    <d v="2022-02-03T00:00:00"/>
    <s v="Net 45"/>
    <n v="45"/>
    <d v="2022-03-20T00:00:00"/>
    <d v="2022-03-16T00:00:00"/>
    <n v="41"/>
    <x v="1"/>
    <x v="0"/>
    <n v="0"/>
    <s v="Efficient"/>
  </r>
  <r>
    <s v="PO-00735"/>
    <x v="1"/>
    <d v="2023-07-07T00:00:00"/>
    <d v="2023-07-23T00:00:00"/>
    <s v="Packaging"/>
    <s v="Cancelled"/>
    <n v="725"/>
    <n v="66.400000000000006"/>
    <n v="62.1"/>
    <n v="118"/>
    <s v="Yes"/>
    <d v="2023-07-23T00:00:00"/>
    <s v="Net 45"/>
    <n v="45"/>
    <d v="2023-09-06T00:00:00"/>
    <d v="2023-09-19T00:00:00"/>
    <n v="58"/>
    <x v="0"/>
    <x v="0"/>
    <n v="13"/>
    <s v="Inefficient"/>
  </r>
  <r>
    <s v="PO-00736"/>
    <x v="0"/>
    <d v="2022-02-23T00:00:00"/>
    <d v="2022-02-28T00:00:00"/>
    <s v="Electronics"/>
    <s v="Delivered"/>
    <n v="1467"/>
    <n v="34.200000000000003"/>
    <n v="30.5"/>
    <n v="25"/>
    <s v="Yes"/>
    <d v="2022-02-28T00:00:00"/>
    <s v="Net 15"/>
    <n v="15"/>
    <d v="2022-03-15T00:00:00"/>
    <d v="2022-03-27T00:00:00"/>
    <n v="27"/>
    <x v="0"/>
    <x v="1"/>
    <n v="12"/>
    <s v="Inefficient"/>
  </r>
  <r>
    <s v="PO-00737"/>
    <x v="3"/>
    <d v="2022-12-25T00:00:00"/>
    <d v="2023-01-12T00:00:00"/>
    <s v="Packaging"/>
    <s v="Delivered"/>
    <n v="1942"/>
    <n v="93.98"/>
    <n v="81.31"/>
    <n v="198"/>
    <s v="Yes"/>
    <d v="2023-01-12T00:00:00"/>
    <s v="Net 45"/>
    <n v="45"/>
    <d v="2023-02-26T00:00:00"/>
    <d v="2023-03-11T00:00:00"/>
    <n v="58"/>
    <x v="0"/>
    <x v="0"/>
    <n v="13"/>
    <s v="Inefficient"/>
  </r>
  <r>
    <s v="PO-00738"/>
    <x v="2"/>
    <d v="2022-08-18T00:00:00"/>
    <m/>
    <s v="Office Supplies"/>
    <s v="Delivered"/>
    <n v="506"/>
    <n v="84.63"/>
    <n v="72.69"/>
    <n v="20"/>
    <s v="Yes"/>
    <d v="1899-12-30T00:00:00"/>
    <s v="Net 15"/>
    <n v="15"/>
    <d v="1900-01-14T00:00:00"/>
    <d v="1900-01-29T00:00:00"/>
    <n v="30"/>
    <x v="0"/>
    <x v="1"/>
    <n v="15"/>
    <s v="Inefficient"/>
  </r>
  <r>
    <s v="PO-00739"/>
    <x v="0"/>
    <d v="2023-10-28T00:00:00"/>
    <d v="2023-11-13T00:00:00"/>
    <s v="MRO"/>
    <s v="Delivered"/>
    <n v="969"/>
    <n v="76.53"/>
    <n v="75.64"/>
    <n v="30"/>
    <s v="Yes"/>
    <d v="2023-11-13T00:00:00"/>
    <s v="Net 30"/>
    <n v="30"/>
    <d v="2023-12-13T00:00:00"/>
    <d v="2023-12-13T00:00:00"/>
    <n v="30"/>
    <x v="1"/>
    <x v="1"/>
    <n v="0"/>
    <s v="Efficient"/>
  </r>
  <r>
    <s v="PO-00740"/>
    <x v="1"/>
    <d v="2022-03-12T00:00:00"/>
    <d v="2022-03-19T00:00:00"/>
    <s v="MRO"/>
    <s v="Delivered"/>
    <n v="241"/>
    <n v="87.42"/>
    <n v="82.15"/>
    <m/>
    <s v="Yes"/>
    <d v="2022-03-19T00:00:00"/>
    <s v="Net 30"/>
    <n v="30"/>
    <d v="2022-04-18T00:00:00"/>
    <d v="2022-04-24T00:00:00"/>
    <n v="36"/>
    <x v="0"/>
    <x v="0"/>
    <n v="6"/>
    <s v="Inefficient"/>
  </r>
  <r>
    <s v="PO-00741"/>
    <x v="2"/>
    <d v="2023-10-30T00:00:00"/>
    <d v="2023-11-09T00:00:00"/>
    <s v="Raw Materials"/>
    <s v="Delivered"/>
    <n v="788"/>
    <n v="97.3"/>
    <n v="94.44"/>
    <n v="32"/>
    <s v="Yes"/>
    <d v="2023-11-09T00:00:00"/>
    <s v="Net 45"/>
    <n v="45"/>
    <d v="2023-12-24T00:00:00"/>
    <d v="2023-12-26T00:00:00"/>
    <n v="47"/>
    <x v="0"/>
    <x v="0"/>
    <n v="2"/>
    <s v="Inefficient"/>
  </r>
  <r>
    <s v="PO-00742"/>
    <x v="2"/>
    <d v="2022-02-11T00:00:00"/>
    <d v="2022-02-13T00:00:00"/>
    <s v="Office Supplies"/>
    <s v="Delivered"/>
    <n v="1762"/>
    <n v="74.12"/>
    <n v="65.709999999999994"/>
    <n v="94"/>
    <s v="Yes"/>
    <d v="2022-02-13T00:00:00"/>
    <s v="Net 30"/>
    <n v="30"/>
    <d v="2022-03-15T00:00:00"/>
    <d v="2022-03-27T00:00:00"/>
    <n v="42"/>
    <x v="0"/>
    <x v="0"/>
    <n v="12"/>
    <s v="Inefficient"/>
  </r>
  <r>
    <s v="PO-00743"/>
    <x v="0"/>
    <d v="2022-02-01T00:00:00"/>
    <m/>
    <s v="Raw Materials"/>
    <s v="Pending"/>
    <n v="1172"/>
    <n v="85.76"/>
    <n v="81.430000000000007"/>
    <n v="25"/>
    <s v="Yes"/>
    <d v="1899-12-30T00:00:00"/>
    <s v="Net 15"/>
    <n v="15"/>
    <d v="1900-01-14T00:00:00"/>
    <d v="1900-01-24T00:00:00"/>
    <n v="25"/>
    <x v="0"/>
    <x v="1"/>
    <n v="10"/>
    <s v="Inefficient"/>
  </r>
  <r>
    <s v="PO-00744"/>
    <x v="1"/>
    <d v="2022-09-11T00:00:00"/>
    <d v="2022-09-30T00:00:00"/>
    <s v="Office Supplies"/>
    <s v="Delivered"/>
    <n v="1621"/>
    <n v="75.680000000000007"/>
    <n v="73.78"/>
    <n v="226"/>
    <s v="No"/>
    <d v="2022-09-30T00:00:00"/>
    <s v="Net 45"/>
    <n v="45"/>
    <d v="2022-11-14T00:00:00"/>
    <d v="2022-12-02T00:00:00"/>
    <n v="63"/>
    <x v="0"/>
    <x v="2"/>
    <n v="18"/>
    <s v="Inefficient"/>
  </r>
  <r>
    <s v="PO-00745"/>
    <x v="0"/>
    <d v="2022-07-24T00:00:00"/>
    <d v="2022-07-26T00:00:00"/>
    <s v="Packaging"/>
    <s v="Delivered"/>
    <n v="1027"/>
    <n v="73.349999999999994"/>
    <n v="65.42"/>
    <n v="24"/>
    <s v="No"/>
    <d v="2022-07-26T00:00:00"/>
    <s v="Net 30"/>
    <n v="30"/>
    <d v="2022-08-25T00:00:00"/>
    <d v="2022-08-20T00:00:00"/>
    <n v="25"/>
    <x v="1"/>
    <x v="1"/>
    <n v="0"/>
    <s v="Efficient"/>
  </r>
  <r>
    <s v="PO-00746"/>
    <x v="3"/>
    <d v="2022-01-21T00:00:00"/>
    <m/>
    <s v="Raw Materials"/>
    <s v="Delivered"/>
    <n v="1058"/>
    <n v="65.680000000000007"/>
    <n v="57.21"/>
    <n v="101"/>
    <s v="Yes"/>
    <d v="1899-12-30T00:00:00"/>
    <s v="Net 30"/>
    <n v="30"/>
    <d v="1900-01-29T00:00:00"/>
    <d v="1900-02-11T00:00:00"/>
    <n v="43"/>
    <x v="0"/>
    <x v="0"/>
    <n v="13"/>
    <s v="Inefficient"/>
  </r>
  <r>
    <s v="PO-00747"/>
    <x v="3"/>
    <d v="2023-09-29T00:00:00"/>
    <d v="2023-10-05T00:00:00"/>
    <s v="Packaging"/>
    <s v="Delivered"/>
    <n v="145"/>
    <n v="85.52"/>
    <n v="81.86"/>
    <n v="11"/>
    <s v="No"/>
    <d v="2023-10-05T00:00:00"/>
    <s v="Net 30"/>
    <n v="30"/>
    <d v="2023-11-04T00:00:00"/>
    <d v="2023-11-03T00:00:00"/>
    <n v="29"/>
    <x v="1"/>
    <x v="1"/>
    <n v="0"/>
    <s v="Efficient"/>
  </r>
  <r>
    <s v="PO-00748"/>
    <x v="4"/>
    <d v="2022-06-06T00:00:00"/>
    <m/>
    <s v="Office Supplies"/>
    <s v="Delivered"/>
    <n v="1737"/>
    <n v="24.88"/>
    <n v="24.28"/>
    <n v="46"/>
    <s v="Yes"/>
    <d v="1899-12-30T00:00:00"/>
    <s v="Net 45"/>
    <n v="45"/>
    <d v="1900-02-13T00:00:00"/>
    <d v="1900-02-21T00:00:00"/>
    <n v="53"/>
    <x v="0"/>
    <x v="0"/>
    <n v="8"/>
    <s v="Inefficient"/>
  </r>
  <r>
    <s v="PO-00749"/>
    <x v="2"/>
    <d v="2022-09-02T00:00:00"/>
    <d v="2022-09-15T00:00:00"/>
    <s v="Electronics"/>
    <s v="Delivered"/>
    <n v="712"/>
    <n v="92.85"/>
    <n v="89.39"/>
    <n v="43"/>
    <s v="Yes"/>
    <d v="2022-09-15T00:00:00"/>
    <s v="Net 45"/>
    <n v="45"/>
    <d v="2022-10-30T00:00:00"/>
    <d v="2022-10-26T00:00:00"/>
    <n v="41"/>
    <x v="1"/>
    <x v="0"/>
    <n v="0"/>
    <s v="Efficient"/>
  </r>
  <r>
    <s v="PO-00750"/>
    <x v="4"/>
    <d v="2022-05-10T00:00:00"/>
    <d v="2022-05-16T00:00:00"/>
    <s v="Electronics"/>
    <s v="Delivered"/>
    <n v="1263"/>
    <n v="90.24"/>
    <n v="86.84"/>
    <n v="28"/>
    <s v="Yes"/>
    <d v="2022-05-16T00:00:00"/>
    <s v="Net 45"/>
    <n v="45"/>
    <d v="2022-06-30T00:00:00"/>
    <d v="2022-06-25T00:00:00"/>
    <n v="40"/>
    <x v="1"/>
    <x v="0"/>
    <n v="0"/>
    <s v="Efficient"/>
  </r>
  <r>
    <s v="PO-00751"/>
    <x v="1"/>
    <d v="2023-04-30T00:00:00"/>
    <m/>
    <s v="Electronics"/>
    <s v="Delivered"/>
    <n v="1809"/>
    <n v="13.58"/>
    <n v="12.68"/>
    <m/>
    <s v="No"/>
    <d v="1899-12-30T00:00:00"/>
    <s v="Net 45"/>
    <n v="45"/>
    <d v="1900-02-13T00:00:00"/>
    <d v="1900-03-01T00:00:00"/>
    <n v="61"/>
    <x v="0"/>
    <x v="2"/>
    <n v="16"/>
    <s v="Inefficient"/>
  </r>
  <r>
    <s v="PO-00752"/>
    <x v="3"/>
    <d v="2023-11-17T00:00:00"/>
    <m/>
    <s v="Electronics"/>
    <s v="Cancelled"/>
    <n v="86"/>
    <n v="93.6"/>
    <n v="88.22"/>
    <n v="5"/>
    <s v="Yes"/>
    <d v="1899-12-30T00:00:00"/>
    <s v="Net 45"/>
    <n v="45"/>
    <d v="1900-02-13T00:00:00"/>
    <d v="1900-02-14T00:00:00"/>
    <n v="46"/>
    <x v="0"/>
    <x v="0"/>
    <n v="1"/>
    <s v="Inefficient"/>
  </r>
  <r>
    <s v="PO-00753"/>
    <x v="4"/>
    <d v="2022-04-28T00:00:00"/>
    <m/>
    <s v="MRO"/>
    <s v="Delivered"/>
    <n v="1853"/>
    <n v="21.92"/>
    <n v="20.72"/>
    <m/>
    <s v="Yes"/>
    <d v="1899-12-30T00:00:00"/>
    <s v="Net 45"/>
    <n v="45"/>
    <d v="1900-02-13T00:00:00"/>
    <d v="1900-02-25T00:00:00"/>
    <n v="57"/>
    <x v="0"/>
    <x v="0"/>
    <n v="12"/>
    <s v="Inefficient"/>
  </r>
  <r>
    <s v="PO-00754"/>
    <x v="3"/>
    <d v="2023-08-01T00:00:00"/>
    <d v="2023-08-02T00:00:00"/>
    <s v="Electronics"/>
    <s v="Delivered"/>
    <n v="1442"/>
    <n v="43.98"/>
    <n v="41.82"/>
    <n v="140"/>
    <s v="No"/>
    <d v="2023-08-02T00:00:00"/>
    <s v="Net 15"/>
    <n v="15"/>
    <d v="2023-08-17T00:00:00"/>
    <d v="2023-08-31T00:00:00"/>
    <n v="29"/>
    <x v="0"/>
    <x v="1"/>
    <n v="14"/>
    <s v="Inefficient"/>
  </r>
  <r>
    <s v="PO-00755"/>
    <x v="3"/>
    <d v="2022-08-12T00:00:00"/>
    <d v="2022-09-01T00:00:00"/>
    <s v="Office Supplies"/>
    <s v="Pending"/>
    <n v="1768"/>
    <n v="79.61"/>
    <n v="74.97"/>
    <n v="207"/>
    <s v="No"/>
    <d v="2022-09-01T00:00:00"/>
    <s v="Net 30"/>
    <n v="30"/>
    <d v="2022-10-01T00:00:00"/>
    <d v="2022-10-01T00:00:00"/>
    <n v="30"/>
    <x v="1"/>
    <x v="1"/>
    <n v="0"/>
    <s v="Efficient"/>
  </r>
  <r>
    <s v="PO-00756"/>
    <x v="3"/>
    <d v="2023-04-22T00:00:00"/>
    <d v="2023-05-03T00:00:00"/>
    <s v="Electronics"/>
    <s v="Partially Delivered"/>
    <n v="1598"/>
    <n v="26.3"/>
    <n v="26.03"/>
    <n v="154"/>
    <s v="No"/>
    <d v="2023-05-03T00:00:00"/>
    <s v="Net 15"/>
    <n v="15"/>
    <d v="2023-05-18T00:00:00"/>
    <d v="2023-06-02T00:00:00"/>
    <n v="30"/>
    <x v="0"/>
    <x v="1"/>
    <n v="15"/>
    <s v="Inefficient"/>
  </r>
  <r>
    <s v="PO-00757"/>
    <x v="0"/>
    <d v="2023-12-18T00:00:00"/>
    <d v="2024-01-05T00:00:00"/>
    <s v="MRO"/>
    <s v="Cancelled"/>
    <n v="328"/>
    <n v="93.23"/>
    <n v="82.63"/>
    <n v="6"/>
    <s v="Yes"/>
    <d v="2024-01-05T00:00:00"/>
    <s v="Net 45"/>
    <n v="45"/>
    <d v="2024-02-19T00:00:00"/>
    <d v="2024-02-24T00:00:00"/>
    <n v="50"/>
    <x v="0"/>
    <x v="0"/>
    <n v="5"/>
    <s v="Inefficient"/>
  </r>
  <r>
    <s v="PO-00758"/>
    <x v="4"/>
    <d v="2022-09-20T00:00:00"/>
    <d v="2022-09-25T00:00:00"/>
    <s v="Packaging"/>
    <s v="Delivered"/>
    <n v="266"/>
    <n v="88.29"/>
    <n v="80.22"/>
    <n v="4"/>
    <s v="Yes"/>
    <d v="2022-09-25T00:00:00"/>
    <s v="Net 15"/>
    <n v="15"/>
    <d v="2022-10-10T00:00:00"/>
    <d v="2022-10-25T00:00:00"/>
    <n v="30"/>
    <x v="0"/>
    <x v="1"/>
    <n v="15"/>
    <s v="Inefficient"/>
  </r>
  <r>
    <s v="PO-00759"/>
    <x v="2"/>
    <d v="2023-01-13T00:00:00"/>
    <d v="2023-01-28T00:00:00"/>
    <s v="Raw Materials"/>
    <s v="Delivered"/>
    <n v="916"/>
    <n v="59.01"/>
    <n v="53.37"/>
    <n v="47"/>
    <s v="Yes"/>
    <d v="2023-01-28T00:00:00"/>
    <s v="Net 30"/>
    <n v="30"/>
    <d v="2023-02-27T00:00:00"/>
    <d v="2023-03-12T00:00:00"/>
    <n v="43"/>
    <x v="0"/>
    <x v="0"/>
    <n v="13"/>
    <s v="Inefficient"/>
  </r>
  <r>
    <s v="PO-00760"/>
    <x v="4"/>
    <d v="2022-06-21T00:00:00"/>
    <d v="2022-06-25T00:00:00"/>
    <s v="Packaging"/>
    <s v="Cancelled"/>
    <n v="922"/>
    <n v="10.84"/>
    <n v="9.27"/>
    <n v="29"/>
    <s v="Yes"/>
    <d v="2022-06-25T00:00:00"/>
    <s v="Net 45"/>
    <n v="45"/>
    <d v="2022-08-09T00:00:00"/>
    <d v="2022-08-25T00:00:00"/>
    <n v="61"/>
    <x v="0"/>
    <x v="2"/>
    <n v="16"/>
    <s v="Inefficient"/>
  </r>
  <r>
    <s v="PO-00761"/>
    <x v="2"/>
    <d v="2023-09-13T00:00:00"/>
    <d v="2023-09-28T00:00:00"/>
    <s v="Packaging"/>
    <s v="Delivered"/>
    <n v="1871"/>
    <n v="39.42"/>
    <n v="37.409999999999997"/>
    <n v="101"/>
    <s v="No"/>
    <d v="2023-09-28T00:00:00"/>
    <s v="Net 15"/>
    <n v="15"/>
    <d v="2023-10-13T00:00:00"/>
    <d v="2023-10-15T00:00:00"/>
    <n v="17"/>
    <x v="0"/>
    <x v="1"/>
    <n v="2"/>
    <s v="Inefficient"/>
  </r>
  <r>
    <s v="PO-00762"/>
    <x v="4"/>
    <d v="2023-09-14T00:00:00"/>
    <d v="2023-09-20T00:00:00"/>
    <s v="Raw Materials"/>
    <s v="Delivered"/>
    <n v="1346"/>
    <n v="72.08"/>
    <n v="67.040000000000006"/>
    <n v="38"/>
    <s v="Yes"/>
    <d v="2023-09-20T00:00:00"/>
    <s v="Net 45"/>
    <n v="45"/>
    <d v="2023-11-04T00:00:00"/>
    <d v="2023-11-23T00:00:00"/>
    <n v="64"/>
    <x v="0"/>
    <x v="2"/>
    <n v="19"/>
    <s v="Inefficient"/>
  </r>
  <r>
    <s v="PO-00763"/>
    <x v="4"/>
    <d v="2022-04-28T00:00:00"/>
    <d v="2022-05-09T00:00:00"/>
    <s v="Electronics"/>
    <s v="Delivered"/>
    <n v="1954"/>
    <n v="99.78"/>
    <n v="87.47"/>
    <n v="57"/>
    <s v="Yes"/>
    <d v="2022-05-09T00:00:00"/>
    <s v="Net 45"/>
    <n v="45"/>
    <d v="2022-06-23T00:00:00"/>
    <d v="2022-07-08T00:00:00"/>
    <n v="60"/>
    <x v="0"/>
    <x v="0"/>
    <n v="15"/>
    <s v="Inefficient"/>
  </r>
  <r>
    <s v="PO-00764"/>
    <x v="3"/>
    <d v="2022-06-17T00:00:00"/>
    <d v="2022-07-06T00:00:00"/>
    <s v="Electronics"/>
    <s v="Delivered"/>
    <n v="111"/>
    <n v="68.53"/>
    <n v="65.22"/>
    <n v="11"/>
    <s v="Yes"/>
    <d v="2022-07-06T00:00:00"/>
    <s v="Net 15"/>
    <n v="15"/>
    <d v="2022-07-21T00:00:00"/>
    <d v="2022-07-30T00:00:00"/>
    <n v="24"/>
    <x v="0"/>
    <x v="1"/>
    <n v="9"/>
    <s v="Inefficient"/>
  </r>
  <r>
    <s v="PO-00765"/>
    <x v="2"/>
    <d v="2022-11-15T00:00:00"/>
    <d v="2022-11-22T00:00:00"/>
    <s v="Office Supplies"/>
    <s v="Pending"/>
    <n v="645"/>
    <n v="35.049999999999997"/>
    <n v="30.88"/>
    <n v="27"/>
    <s v="Yes"/>
    <d v="2022-11-22T00:00:00"/>
    <s v="Net 45"/>
    <n v="45"/>
    <d v="2023-01-06T00:00:00"/>
    <d v="2023-01-05T00:00:00"/>
    <n v="44"/>
    <x v="1"/>
    <x v="0"/>
    <n v="0"/>
    <s v="Efficient"/>
  </r>
  <r>
    <s v="PO-00766"/>
    <x v="2"/>
    <d v="2022-04-21T00:00:00"/>
    <d v="2022-05-04T00:00:00"/>
    <s v="Electronics"/>
    <s v="Cancelled"/>
    <n v="1953"/>
    <n v="68.069999999999993"/>
    <n v="62.95"/>
    <n v="87"/>
    <s v="Yes"/>
    <d v="2022-05-04T00:00:00"/>
    <s v="Net 45"/>
    <n v="45"/>
    <d v="2022-06-18T00:00:00"/>
    <d v="2022-06-23T00:00:00"/>
    <n v="50"/>
    <x v="0"/>
    <x v="0"/>
    <n v="5"/>
    <s v="Inefficient"/>
  </r>
  <r>
    <s v="PO-00767"/>
    <x v="2"/>
    <d v="2023-08-16T00:00:00"/>
    <d v="2023-09-02T00:00:00"/>
    <s v="Electronics"/>
    <s v="Delivered"/>
    <n v="778"/>
    <n v="64.17"/>
    <n v="61.6"/>
    <n v="47"/>
    <s v="Yes"/>
    <d v="2023-09-02T00:00:00"/>
    <s v="Net 45"/>
    <n v="45"/>
    <d v="2023-10-17T00:00:00"/>
    <d v="2023-10-20T00:00:00"/>
    <n v="48"/>
    <x v="0"/>
    <x v="0"/>
    <n v="3"/>
    <s v="Inefficient"/>
  </r>
  <r>
    <s v="PO-00768"/>
    <x v="4"/>
    <d v="2022-01-27T00:00:00"/>
    <d v="2022-02-09T00:00:00"/>
    <s v="Office Supplies"/>
    <s v="Delivered"/>
    <n v="1415"/>
    <n v="80.19"/>
    <n v="78.34"/>
    <m/>
    <s v="Yes"/>
    <d v="2022-02-09T00:00:00"/>
    <s v="Net 30"/>
    <n v="30"/>
    <d v="2022-03-11T00:00:00"/>
    <d v="2022-03-13T00:00:00"/>
    <n v="32"/>
    <x v="0"/>
    <x v="0"/>
    <n v="2"/>
    <s v="Inefficient"/>
  </r>
  <r>
    <s v="PO-00769"/>
    <x v="2"/>
    <d v="2022-11-16T00:00:00"/>
    <d v="2022-11-22T00:00:00"/>
    <s v="Raw Materials"/>
    <s v="Delivered"/>
    <n v="446"/>
    <n v="20.61"/>
    <n v="19.46"/>
    <n v="14"/>
    <s v="Yes"/>
    <d v="2022-11-22T00:00:00"/>
    <s v="Net 30"/>
    <n v="30"/>
    <d v="2022-12-22T00:00:00"/>
    <d v="2022-12-20T00:00:00"/>
    <n v="28"/>
    <x v="1"/>
    <x v="1"/>
    <n v="0"/>
    <s v="Efficient"/>
  </r>
  <r>
    <s v="PO-00770"/>
    <x v="4"/>
    <d v="2023-08-13T00:00:00"/>
    <m/>
    <s v="Office Supplies"/>
    <s v="Delivered"/>
    <n v="748"/>
    <n v="85.95"/>
    <n v="79.16"/>
    <n v="32"/>
    <s v="Yes"/>
    <d v="1899-12-30T00:00:00"/>
    <s v="Net 45"/>
    <n v="45"/>
    <d v="1900-02-13T00:00:00"/>
    <d v="1900-02-11T00:00:00"/>
    <n v="43"/>
    <x v="1"/>
    <x v="0"/>
    <n v="0"/>
    <s v="Efficient"/>
  </r>
  <r>
    <s v="PO-00771"/>
    <x v="0"/>
    <d v="2023-11-25T00:00:00"/>
    <d v="2023-12-03T00:00:00"/>
    <s v="Electronics"/>
    <s v="Pending"/>
    <n v="1092"/>
    <n v="65.17"/>
    <n v="63.11"/>
    <n v="21"/>
    <s v="Yes"/>
    <d v="2023-12-03T00:00:00"/>
    <s v="Net 45"/>
    <n v="45"/>
    <d v="2024-01-17T00:00:00"/>
    <d v="2024-01-21T00:00:00"/>
    <n v="49"/>
    <x v="0"/>
    <x v="0"/>
    <n v="4"/>
    <s v="Inefficient"/>
  </r>
  <r>
    <s v="PO-00772"/>
    <x v="3"/>
    <d v="2023-01-20T00:00:00"/>
    <d v="2023-02-02T00:00:00"/>
    <s v="Electronics"/>
    <s v="Delivered"/>
    <n v="226"/>
    <n v="102.47"/>
    <n v="99.16"/>
    <n v="28"/>
    <s v="Yes"/>
    <d v="2023-02-02T00:00:00"/>
    <s v="Net 45"/>
    <n v="45"/>
    <d v="2023-03-19T00:00:00"/>
    <d v="2023-03-22T00:00:00"/>
    <n v="48"/>
    <x v="0"/>
    <x v="0"/>
    <n v="3"/>
    <s v="Inefficient"/>
  </r>
  <r>
    <s v="PO-00773"/>
    <x v="1"/>
    <d v="2023-02-11T00:00:00"/>
    <d v="2023-02-20T00:00:00"/>
    <s v="Electronics"/>
    <s v="Delivered"/>
    <n v="1685"/>
    <n v="43.42"/>
    <n v="42.24"/>
    <n v="262"/>
    <s v="Yes"/>
    <d v="2023-02-20T00:00:00"/>
    <s v="Net 45"/>
    <n v="45"/>
    <d v="2023-04-06T00:00:00"/>
    <d v="2023-04-05T00:00:00"/>
    <n v="44"/>
    <x v="1"/>
    <x v="0"/>
    <n v="0"/>
    <s v="Efficient"/>
  </r>
  <r>
    <s v="PO-00774"/>
    <x v="0"/>
    <d v="2022-07-23T00:00:00"/>
    <m/>
    <s v="Office Supplies"/>
    <s v="Delivered"/>
    <n v="445"/>
    <n v="68.94"/>
    <n v="60.35"/>
    <n v="7"/>
    <s v="Yes"/>
    <d v="1899-12-30T00:00:00"/>
    <s v="Net 30"/>
    <n v="30"/>
    <d v="1900-01-29T00:00:00"/>
    <d v="1900-02-10T00:00:00"/>
    <n v="42"/>
    <x v="0"/>
    <x v="0"/>
    <n v="12"/>
    <s v="Inefficient"/>
  </r>
  <r>
    <s v="PO-00775"/>
    <x v="2"/>
    <d v="2022-03-19T00:00:00"/>
    <d v="2022-04-07T00:00:00"/>
    <s v="Raw Materials"/>
    <s v="Delivered"/>
    <n v="494"/>
    <n v="94.82"/>
    <n v="81.89"/>
    <n v="29"/>
    <s v="Yes"/>
    <d v="2022-04-07T00:00:00"/>
    <s v="Net 30"/>
    <n v="30"/>
    <d v="2022-05-07T00:00:00"/>
    <d v="2022-05-10T00:00:00"/>
    <n v="33"/>
    <x v="0"/>
    <x v="0"/>
    <n v="3"/>
    <s v="Inefficient"/>
  </r>
  <r>
    <s v="PO-00776"/>
    <x v="3"/>
    <d v="2023-08-30T00:00:00"/>
    <d v="2023-09-11T00:00:00"/>
    <s v="MRO"/>
    <s v="Delivered"/>
    <n v="1306"/>
    <n v="21.05"/>
    <n v="18.27"/>
    <n v="128"/>
    <s v="Yes"/>
    <d v="2023-09-11T00:00:00"/>
    <s v="Net 30"/>
    <n v="30"/>
    <d v="2023-10-11T00:00:00"/>
    <d v="2023-10-25T00:00:00"/>
    <n v="44"/>
    <x v="0"/>
    <x v="0"/>
    <n v="14"/>
    <s v="Inefficient"/>
  </r>
  <r>
    <s v="PO-00777"/>
    <x v="3"/>
    <d v="2023-12-09T00:00:00"/>
    <d v="2023-12-11T00:00:00"/>
    <s v="Office Supplies"/>
    <s v="Delivered"/>
    <n v="1988"/>
    <n v="105.2"/>
    <n v="93.23"/>
    <n v="187"/>
    <s v="Yes"/>
    <d v="2023-12-11T00:00:00"/>
    <s v="Net 30"/>
    <n v="30"/>
    <d v="2024-01-10T00:00:00"/>
    <d v="2024-01-13T00:00:00"/>
    <n v="33"/>
    <x v="0"/>
    <x v="0"/>
    <n v="3"/>
    <s v="Ineffici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21A35-3B30-4E94-9CFF-CFE7C9BBF7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4:E7" firstHeaderRow="1" firstDataRow="1" firstDataCol="1"/>
  <pivotFields count="21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PO_ID" fld="0" subtotal="count" showDataAs="percentOfCol" baseField="17" baseItem="0" numFmtId="164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CE693-F1D1-49DC-8C89-73C578DB68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g Payment Cycle (Days)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02575-19C6-4A3E-8FAF-B06A86E3E81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4:C30" firstHeaderRow="1" firstDataRow="1" firstDataCol="1"/>
  <pivotFields count="21"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2BCC3-D877-4DC2-8B35-81D8676C91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4:J8" firstHeaderRow="1" firstDataRow="1" firstDataCol="1"/>
  <pivotFields count="21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_ID" fld="0" subtotal="count" baseField="0" baseItem="0"/>
  </dataField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CC847-BE12-46FB-9239-8CA031A880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G11" firstHeaderRow="1" firstDataRow="3" firstDataCol="1"/>
  <pivotFields count="4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Defective_Units" fld="2" baseField="0" baseItem="0"/>
    <dataField name="Sum of Good_Quantity" fld="3" baseField="0" baseItem="0"/>
  </dataFields>
  <chartFormats count="5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Defective_Units"/>
    <pivotHierarchy dragToData="1"/>
    <pivotHierarchy dragToData="1"/>
    <pivotHierarchy dragToData="1"/>
    <pivotHierarchy dragToData="1" caption="Sum of Good_Quantity"/>
    <pivotHierarchy dragToData="1" caption="Count of Good_Quantity"/>
    <pivotHierarchy dragToData="1" caption="Count of Defective_Units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18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curement KPI Analysis Datase!$A$1:$U$77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B09B-9A45-4EFF-AAD2-1E4B494BBBAD}">
  <dimension ref="A3:J30"/>
  <sheetViews>
    <sheetView topLeftCell="B1" workbookViewId="0">
      <selection activeCell="C24" sqref="C24"/>
    </sheetView>
  </sheetViews>
  <sheetFormatPr defaultRowHeight="14.5" x14ac:dyDescent="0.35"/>
  <cols>
    <col min="1" max="1" width="24.26953125" bestFit="1" customWidth="1"/>
    <col min="3" max="3" width="13.1796875" bestFit="1" customWidth="1"/>
    <col min="4" max="4" width="12.36328125" bestFit="1" customWidth="1"/>
    <col min="5" max="5" width="13.90625" bestFit="1" customWidth="1"/>
    <col min="9" max="9" width="12.36328125" bestFit="1" customWidth="1"/>
    <col min="10" max="10" width="13.90625" bestFit="1" customWidth="1"/>
  </cols>
  <sheetData>
    <row r="3" spans="1:10" x14ac:dyDescent="0.35">
      <c r="A3" t="s">
        <v>814</v>
      </c>
    </row>
    <row r="4" spans="1:10" x14ac:dyDescent="0.35">
      <c r="A4">
        <v>37.61647361647362</v>
      </c>
      <c r="D4" s="2" t="s">
        <v>815</v>
      </c>
      <c r="E4" t="s">
        <v>819</v>
      </c>
      <c r="I4" s="2" t="s">
        <v>815</v>
      </c>
      <c r="J4" t="s">
        <v>819</v>
      </c>
    </row>
    <row r="5" spans="1:10" x14ac:dyDescent="0.35">
      <c r="D5" s="3" t="s">
        <v>816</v>
      </c>
      <c r="E5" s="4">
        <v>0.76833976833976836</v>
      </c>
      <c r="I5" s="3" t="s">
        <v>820</v>
      </c>
      <c r="J5">
        <v>262</v>
      </c>
    </row>
    <row r="6" spans="1:10" x14ac:dyDescent="0.35">
      <c r="D6" s="3" t="s">
        <v>817</v>
      </c>
      <c r="E6" s="4">
        <v>0.23166023166023167</v>
      </c>
      <c r="I6" s="3" t="s">
        <v>821</v>
      </c>
      <c r="J6">
        <v>464</v>
      </c>
    </row>
    <row r="7" spans="1:10" x14ac:dyDescent="0.35">
      <c r="D7" s="3" t="s">
        <v>818</v>
      </c>
      <c r="E7" s="4">
        <v>1</v>
      </c>
      <c r="I7" s="3" t="s">
        <v>822</v>
      </c>
      <c r="J7">
        <v>51</v>
      </c>
    </row>
    <row r="8" spans="1:10" x14ac:dyDescent="0.35">
      <c r="I8" s="3" t="s">
        <v>818</v>
      </c>
      <c r="J8">
        <v>777</v>
      </c>
    </row>
    <row r="24" spans="3:3" x14ac:dyDescent="0.35">
      <c r="C24" s="2" t="s">
        <v>815</v>
      </c>
    </row>
    <row r="25" spans="3:3" x14ac:dyDescent="0.35">
      <c r="C25" s="3" t="s">
        <v>12</v>
      </c>
    </row>
    <row r="26" spans="3:3" x14ac:dyDescent="0.35">
      <c r="C26" s="3" t="s">
        <v>23</v>
      </c>
    </row>
    <row r="27" spans="3:3" x14ac:dyDescent="0.35">
      <c r="C27" s="3" t="s">
        <v>17</v>
      </c>
    </row>
    <row r="28" spans="3:3" x14ac:dyDescent="0.35">
      <c r="C28" s="3" t="s">
        <v>29</v>
      </c>
    </row>
    <row r="29" spans="3:3" x14ac:dyDescent="0.35">
      <c r="C29" s="3" t="s">
        <v>20</v>
      </c>
    </row>
    <row r="30" spans="3:3" x14ac:dyDescent="0.35">
      <c r="C30" s="3" t="s">
        <v>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6698-FA5D-4086-8129-41E8DC588477}">
  <dimension ref="A3:G11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20.453125" bestFit="1" customWidth="1"/>
    <col min="3" max="3" width="20.1796875" bestFit="1" customWidth="1"/>
    <col min="4" max="4" width="20.453125" bestFit="1" customWidth="1"/>
    <col min="5" max="5" width="20.1796875" bestFit="1" customWidth="1"/>
    <col min="6" max="6" width="25.36328125" bestFit="1" customWidth="1"/>
    <col min="7" max="7" width="25" bestFit="1" customWidth="1"/>
    <col min="8" max="12" width="1.81640625" bestFit="1" customWidth="1"/>
    <col min="13" max="99" width="2.81640625" bestFit="1" customWidth="1"/>
    <col min="100" max="204" width="3.81640625" bestFit="1" customWidth="1"/>
    <col min="205" max="205" width="10.7265625" bestFit="1" customWidth="1"/>
  </cols>
  <sheetData>
    <row r="3" spans="1:7" x14ac:dyDescent="0.35">
      <c r="B3" s="2" t="s">
        <v>824</v>
      </c>
    </row>
    <row r="4" spans="1:7" x14ac:dyDescent="0.35">
      <c r="B4" t="s">
        <v>816</v>
      </c>
      <c r="D4" t="s">
        <v>817</v>
      </c>
      <c r="F4" t="s">
        <v>825</v>
      </c>
      <c r="G4" t="s">
        <v>827</v>
      </c>
    </row>
    <row r="5" spans="1:7" x14ac:dyDescent="0.35">
      <c r="A5" s="2" t="s">
        <v>815</v>
      </c>
      <c r="B5" t="s">
        <v>823</v>
      </c>
      <c r="C5" t="s">
        <v>828</v>
      </c>
      <c r="D5" t="s">
        <v>823</v>
      </c>
      <c r="E5" t="s">
        <v>828</v>
      </c>
    </row>
    <row r="6" spans="1:7" x14ac:dyDescent="0.35">
      <c r="A6" s="3" t="s">
        <v>12</v>
      </c>
      <c r="B6">
        <v>2212</v>
      </c>
      <c r="C6">
        <v>117166</v>
      </c>
      <c r="D6">
        <v>505</v>
      </c>
      <c r="E6">
        <v>30531</v>
      </c>
      <c r="F6">
        <v>2717</v>
      </c>
      <c r="G6">
        <v>147697</v>
      </c>
    </row>
    <row r="7" spans="1:7" x14ac:dyDescent="0.35">
      <c r="A7" s="3" t="s">
        <v>23</v>
      </c>
      <c r="B7">
        <v>10887</v>
      </c>
      <c r="C7">
        <v>125778</v>
      </c>
      <c r="D7">
        <v>2951</v>
      </c>
      <c r="E7">
        <v>40900</v>
      </c>
      <c r="F7">
        <v>13838</v>
      </c>
      <c r="G7">
        <v>166678</v>
      </c>
    </row>
    <row r="8" spans="1:7" x14ac:dyDescent="0.35">
      <c r="A8" s="3" t="s">
        <v>17</v>
      </c>
      <c r="B8">
        <v>13796</v>
      </c>
      <c r="C8">
        <v>115456</v>
      </c>
      <c r="D8">
        <v>5882</v>
      </c>
      <c r="E8">
        <v>46518</v>
      </c>
      <c r="F8">
        <v>19678</v>
      </c>
      <c r="G8">
        <v>161974</v>
      </c>
    </row>
    <row r="9" spans="1:7" x14ac:dyDescent="0.35">
      <c r="A9" s="3" t="s">
        <v>29</v>
      </c>
      <c r="B9">
        <v>3703</v>
      </c>
      <c r="C9">
        <v>137250</v>
      </c>
      <c r="D9">
        <v>979</v>
      </c>
      <c r="E9">
        <v>38121</v>
      </c>
      <c r="F9">
        <v>4682</v>
      </c>
      <c r="G9">
        <v>175371</v>
      </c>
    </row>
    <row r="10" spans="1:7" x14ac:dyDescent="0.35">
      <c r="A10" s="3" t="s">
        <v>20</v>
      </c>
      <c r="B10">
        <v>5325</v>
      </c>
      <c r="C10">
        <v>111327</v>
      </c>
      <c r="D10">
        <v>1709</v>
      </c>
      <c r="E10">
        <v>39555</v>
      </c>
      <c r="F10">
        <v>7034</v>
      </c>
      <c r="G10">
        <v>150882</v>
      </c>
    </row>
    <row r="11" spans="1:7" x14ac:dyDescent="0.35">
      <c r="A11" s="3" t="s">
        <v>818</v>
      </c>
      <c r="B11">
        <v>35923</v>
      </c>
      <c r="C11">
        <v>606977</v>
      </c>
      <c r="D11">
        <v>12026</v>
      </c>
      <c r="E11">
        <v>195625</v>
      </c>
      <c r="F11">
        <v>47949</v>
      </c>
      <c r="G11">
        <v>802602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05E7-4C61-4437-B9A4-0FDB5D17B8C5}">
  <dimension ref="A1:W778"/>
  <sheetViews>
    <sheetView tabSelected="1" topLeftCell="M761" workbookViewId="0">
      <selection activeCell="V780" sqref="V780"/>
    </sheetView>
  </sheetViews>
  <sheetFormatPr defaultRowHeight="14.5" x14ac:dyDescent="0.35"/>
  <cols>
    <col min="2" max="2" width="20.6328125" customWidth="1"/>
    <col min="3" max="3" width="20.54296875" customWidth="1"/>
    <col min="4" max="4" width="20.08984375" customWidth="1"/>
    <col min="5" max="5" width="18.54296875" customWidth="1"/>
    <col min="6" max="6" width="16.1796875" customWidth="1"/>
    <col min="7" max="7" width="11.6328125" customWidth="1"/>
    <col min="8" max="8" width="13.1796875" customWidth="1"/>
    <col min="9" max="9" width="15.81640625" customWidth="1"/>
    <col min="10" max="11" width="18.81640625" customWidth="1"/>
    <col min="12" max="12" width="12.54296875" customWidth="1"/>
    <col min="13" max="13" width="18" customWidth="1"/>
    <col min="14" max="14" width="17.453125" customWidth="1"/>
    <col min="15" max="15" width="10.6328125" customWidth="1"/>
    <col min="16" max="16" width="12" customWidth="1"/>
    <col min="17" max="18" width="17.26953125" customWidth="1"/>
    <col min="19" max="19" width="16.36328125" customWidth="1"/>
    <col min="20" max="20" width="17.36328125" customWidth="1"/>
    <col min="21" max="21" width="11.1796875" customWidth="1"/>
    <col min="22" max="22" width="17.81640625" customWidth="1"/>
    <col min="23" max="23" width="12.7265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826</v>
      </c>
      <c r="L1" t="s">
        <v>10</v>
      </c>
      <c r="M1" t="s">
        <v>804</v>
      </c>
      <c r="N1" t="s">
        <v>805</v>
      </c>
      <c r="O1" t="s">
        <v>806</v>
      </c>
      <c r="P1" t="s">
        <v>807</v>
      </c>
      <c r="Q1" t="s">
        <v>808</v>
      </c>
      <c r="R1" t="s">
        <v>809</v>
      </c>
      <c r="S1" t="s">
        <v>810</v>
      </c>
      <c r="T1" t="s">
        <v>811</v>
      </c>
      <c r="U1" t="s">
        <v>812</v>
      </c>
      <c r="V1" t="s">
        <v>813</v>
      </c>
      <c r="W1" t="s">
        <v>829</v>
      </c>
    </row>
    <row r="2" spans="1:23" x14ac:dyDescent="0.35">
      <c r="A2" t="s">
        <v>11</v>
      </c>
      <c r="B2" t="s">
        <v>12</v>
      </c>
      <c r="C2" s="1">
        <v>45216</v>
      </c>
      <c r="D2" s="1">
        <v>45224</v>
      </c>
      <c r="E2" t="s">
        <v>13</v>
      </c>
      <c r="F2" t="s">
        <v>14</v>
      </c>
      <c r="G2">
        <v>1176</v>
      </c>
      <c r="H2">
        <v>20.13</v>
      </c>
      <c r="I2">
        <v>17.809999999999999</v>
      </c>
      <c r="J2">
        <v>0</v>
      </c>
      <c r="K2">
        <f>G2-J2</f>
        <v>1176</v>
      </c>
      <c r="L2" t="s">
        <v>15</v>
      </c>
      <c r="M2" s="1">
        <f>D2</f>
        <v>45224</v>
      </c>
      <c r="N2" t="str">
        <f ca="1">CHOOSE(RANDBETWEEN(1,3),"Net 15","Net 30","Net 45")</f>
        <v>Net 30</v>
      </c>
      <c r="O2">
        <f ca="1">VALUE(RIGHT(N2,2))</f>
        <v>30</v>
      </c>
      <c r="P2" s="1">
        <f ca="1">(M2+O2)</f>
        <v>45254</v>
      </c>
      <c r="Q2" s="1">
        <f ca="1">P2 + RANDBETWEEN(-5,20)</f>
        <v>45263</v>
      </c>
      <c r="R2">
        <f ca="1">Q2-M2</f>
        <v>39</v>
      </c>
      <c r="S2" t="str">
        <f ca="1">IF(Q2&lt;P2,"Early",
IF(Q2=P2,"On Time","Late"))</f>
        <v>Late</v>
      </c>
      <c r="T2" t="str">
        <f ca="1">IF(R2&lt;=30,"0-30",
IF(R2&lt;=60,"31-60",
IF(R2&lt;=90,"61-90","90+")))</f>
        <v>31-60</v>
      </c>
      <c r="U2">
        <f ca="1">MAX(0,Q2-P2)</f>
        <v>9</v>
      </c>
      <c r="V2" t="str">
        <f ca="1">IF(U2=0,"Efficient","Inefficient")</f>
        <v>Inefficient</v>
      </c>
      <c r="W2">
        <f>G2*I2</f>
        <v>20944.559999999998</v>
      </c>
    </row>
    <row r="3" spans="1:23" x14ac:dyDescent="0.35">
      <c r="A3" t="s">
        <v>16</v>
      </c>
      <c r="B3" t="s">
        <v>17</v>
      </c>
      <c r="C3" s="1">
        <v>44676</v>
      </c>
      <c r="D3" s="1">
        <v>44686</v>
      </c>
      <c r="E3" t="s">
        <v>13</v>
      </c>
      <c r="F3" t="s">
        <v>18</v>
      </c>
      <c r="G3">
        <v>1509</v>
      </c>
      <c r="H3">
        <v>39.32</v>
      </c>
      <c r="I3">
        <v>37.340000000000003</v>
      </c>
      <c r="J3">
        <v>235</v>
      </c>
      <c r="K3">
        <f t="shared" ref="K3:K66" si="0">G3-J3</f>
        <v>1274</v>
      </c>
      <c r="L3" t="s">
        <v>15</v>
      </c>
      <c r="M3" s="1">
        <f t="shared" ref="M3:M66" si="1">D3</f>
        <v>44686</v>
      </c>
      <c r="N3" t="str">
        <f t="shared" ref="N3:N66" ca="1" si="2">CHOOSE(RANDBETWEEN(1,3),"Net 15","Net 30","Net 45")</f>
        <v>Net 45</v>
      </c>
      <c r="O3">
        <f t="shared" ref="O3:O66" ca="1" si="3">VALUE(RIGHT(N3,2))</f>
        <v>45</v>
      </c>
      <c r="P3" s="1">
        <f t="shared" ref="P3:P66" ca="1" si="4">(M3+O3)</f>
        <v>44731</v>
      </c>
      <c r="Q3" s="1">
        <f t="shared" ref="Q3:Q66" ca="1" si="5">P3 + RANDBETWEEN(-5,20)</f>
        <v>44742</v>
      </c>
      <c r="R3">
        <f t="shared" ref="R3:R66" ca="1" si="6">Q3-M3</f>
        <v>56</v>
      </c>
      <c r="S3" t="str">
        <f t="shared" ref="S3:S66" ca="1" si="7">IF(Q3&lt;=P3,"On Time","Late")</f>
        <v>Late</v>
      </c>
      <c r="T3" t="str">
        <f t="shared" ref="T3:T66" ca="1" si="8">IF(R3&lt;=30,"0-30",
IF(R3&lt;=60,"31-60",
IF(R3&lt;=90,"61-90","90+")))</f>
        <v>31-60</v>
      </c>
      <c r="U3">
        <f t="shared" ref="U3:U66" ca="1" si="9">MAX(0,Q3-P3)</f>
        <v>11</v>
      </c>
      <c r="V3" t="str">
        <f t="shared" ref="V3:V66" ca="1" si="10">IF(U3=0,"Efficient","Inefficient")</f>
        <v>Inefficient</v>
      </c>
      <c r="W3">
        <f t="shared" ref="W3:W66" si="11">G3*I3</f>
        <v>56346.060000000005</v>
      </c>
    </row>
    <row r="4" spans="1:23" x14ac:dyDescent="0.35">
      <c r="A4" t="s">
        <v>19</v>
      </c>
      <c r="B4" t="s">
        <v>20</v>
      </c>
      <c r="C4" s="1">
        <v>44587</v>
      </c>
      <c r="D4" s="1">
        <v>44607</v>
      </c>
      <c r="E4" t="s">
        <v>21</v>
      </c>
      <c r="F4" t="s">
        <v>18</v>
      </c>
      <c r="G4">
        <v>910</v>
      </c>
      <c r="H4">
        <v>95.51</v>
      </c>
      <c r="I4">
        <v>92.26</v>
      </c>
      <c r="J4">
        <v>41</v>
      </c>
      <c r="K4">
        <f t="shared" si="0"/>
        <v>869</v>
      </c>
      <c r="L4" t="s">
        <v>15</v>
      </c>
      <c r="M4" s="1">
        <f t="shared" si="1"/>
        <v>44607</v>
      </c>
      <c r="N4" t="str">
        <f t="shared" ca="1" si="2"/>
        <v>Net 15</v>
      </c>
      <c r="O4">
        <f t="shared" ca="1" si="3"/>
        <v>15</v>
      </c>
      <c r="P4" s="1">
        <f t="shared" ca="1" si="4"/>
        <v>44622</v>
      </c>
      <c r="Q4" s="1">
        <f t="shared" ca="1" si="5"/>
        <v>44621</v>
      </c>
      <c r="R4">
        <f t="shared" ca="1" si="6"/>
        <v>14</v>
      </c>
      <c r="S4" t="str">
        <f t="shared" ca="1" si="7"/>
        <v>On Time</v>
      </c>
      <c r="T4" t="str">
        <f t="shared" ca="1" si="8"/>
        <v>0-30</v>
      </c>
      <c r="U4">
        <f t="shared" ca="1" si="9"/>
        <v>0</v>
      </c>
      <c r="V4" t="str">
        <f t="shared" ca="1" si="10"/>
        <v>Efficient</v>
      </c>
      <c r="W4">
        <f t="shared" si="11"/>
        <v>83956.6</v>
      </c>
    </row>
    <row r="5" spans="1:23" x14ac:dyDescent="0.35">
      <c r="A5" t="s">
        <v>22</v>
      </c>
      <c r="B5" t="s">
        <v>23</v>
      </c>
      <c r="C5" s="1">
        <v>44843</v>
      </c>
      <c r="D5" s="1">
        <v>44862</v>
      </c>
      <c r="E5" t="s">
        <v>24</v>
      </c>
      <c r="F5" t="s">
        <v>18</v>
      </c>
      <c r="G5">
        <v>1344</v>
      </c>
      <c r="H5">
        <v>99.85</v>
      </c>
      <c r="I5">
        <v>95.52</v>
      </c>
      <c r="J5">
        <v>112</v>
      </c>
      <c r="K5">
        <f t="shared" si="0"/>
        <v>1232</v>
      </c>
      <c r="L5" t="s">
        <v>15</v>
      </c>
      <c r="M5" s="1">
        <f t="shared" si="1"/>
        <v>44862</v>
      </c>
      <c r="N5" t="str">
        <f t="shared" ca="1" si="2"/>
        <v>Net 15</v>
      </c>
      <c r="O5">
        <f t="shared" ca="1" si="3"/>
        <v>15</v>
      </c>
      <c r="P5" s="1">
        <f t="shared" ca="1" si="4"/>
        <v>44877</v>
      </c>
      <c r="Q5" s="1">
        <f t="shared" ca="1" si="5"/>
        <v>44894</v>
      </c>
      <c r="R5">
        <f t="shared" ca="1" si="6"/>
        <v>32</v>
      </c>
      <c r="S5" t="str">
        <f t="shared" ca="1" si="7"/>
        <v>Late</v>
      </c>
      <c r="T5" t="str">
        <f t="shared" ca="1" si="8"/>
        <v>31-60</v>
      </c>
      <c r="U5">
        <f t="shared" ca="1" si="9"/>
        <v>17</v>
      </c>
      <c r="V5" t="str">
        <f t="shared" ca="1" si="10"/>
        <v>Inefficient</v>
      </c>
      <c r="W5">
        <f t="shared" si="11"/>
        <v>128378.87999999999</v>
      </c>
    </row>
    <row r="6" spans="1:23" x14ac:dyDescent="0.35">
      <c r="A6" t="s">
        <v>25</v>
      </c>
      <c r="B6" t="s">
        <v>17</v>
      </c>
      <c r="C6" s="1">
        <v>44812</v>
      </c>
      <c r="D6" s="1">
        <v>44824</v>
      </c>
      <c r="E6" t="s">
        <v>26</v>
      </c>
      <c r="F6" t="s">
        <v>18</v>
      </c>
      <c r="G6">
        <v>1180</v>
      </c>
      <c r="H6">
        <v>64.069999999999993</v>
      </c>
      <c r="I6">
        <v>60.53</v>
      </c>
      <c r="J6">
        <v>171</v>
      </c>
      <c r="K6">
        <f t="shared" si="0"/>
        <v>1009</v>
      </c>
      <c r="L6" t="s">
        <v>27</v>
      </c>
      <c r="M6" s="1">
        <f t="shared" si="1"/>
        <v>44824</v>
      </c>
      <c r="N6" t="str">
        <f t="shared" ca="1" si="2"/>
        <v>Net 45</v>
      </c>
      <c r="O6">
        <f t="shared" ca="1" si="3"/>
        <v>45</v>
      </c>
      <c r="P6" s="1">
        <f t="shared" ca="1" si="4"/>
        <v>44869</v>
      </c>
      <c r="Q6" s="1">
        <f t="shared" ca="1" si="5"/>
        <v>44880</v>
      </c>
      <c r="R6">
        <f t="shared" ca="1" si="6"/>
        <v>56</v>
      </c>
      <c r="S6" t="str">
        <f t="shared" ca="1" si="7"/>
        <v>Late</v>
      </c>
      <c r="T6" t="str">
        <f t="shared" ca="1" si="8"/>
        <v>31-60</v>
      </c>
      <c r="U6">
        <f t="shared" ca="1" si="9"/>
        <v>11</v>
      </c>
      <c r="V6" t="str">
        <f t="shared" ca="1" si="10"/>
        <v>Inefficient</v>
      </c>
      <c r="W6">
        <f t="shared" si="11"/>
        <v>71425.399999999994</v>
      </c>
    </row>
    <row r="7" spans="1:23" x14ac:dyDescent="0.35">
      <c r="A7" t="s">
        <v>28</v>
      </c>
      <c r="B7" t="s">
        <v>29</v>
      </c>
      <c r="C7" s="1">
        <v>44790</v>
      </c>
      <c r="D7" s="1">
        <v>44802</v>
      </c>
      <c r="E7" t="s">
        <v>21</v>
      </c>
      <c r="F7" t="s">
        <v>18</v>
      </c>
      <c r="G7">
        <v>1145</v>
      </c>
      <c r="H7">
        <v>69.209999999999994</v>
      </c>
      <c r="I7">
        <v>63.57</v>
      </c>
      <c r="J7">
        <v>39</v>
      </c>
      <c r="K7">
        <f t="shared" si="0"/>
        <v>1106</v>
      </c>
      <c r="L7" t="s">
        <v>15</v>
      </c>
      <c r="M7" s="1">
        <f t="shared" si="1"/>
        <v>44802</v>
      </c>
      <c r="N7" t="str">
        <f t="shared" ca="1" si="2"/>
        <v>Net 30</v>
      </c>
      <c r="O7">
        <f t="shared" ca="1" si="3"/>
        <v>30</v>
      </c>
      <c r="P7" s="1">
        <f t="shared" ca="1" si="4"/>
        <v>44832</v>
      </c>
      <c r="Q7" s="1">
        <f t="shared" ca="1" si="5"/>
        <v>44850</v>
      </c>
      <c r="R7">
        <f t="shared" ca="1" si="6"/>
        <v>48</v>
      </c>
      <c r="S7" t="str">
        <f t="shared" ca="1" si="7"/>
        <v>Late</v>
      </c>
      <c r="T7" t="str">
        <f t="shared" ca="1" si="8"/>
        <v>31-60</v>
      </c>
      <c r="U7">
        <f t="shared" ca="1" si="9"/>
        <v>18</v>
      </c>
      <c r="V7" t="str">
        <f t="shared" ca="1" si="10"/>
        <v>Inefficient</v>
      </c>
      <c r="W7">
        <f t="shared" si="11"/>
        <v>72787.649999999994</v>
      </c>
    </row>
    <row r="8" spans="1:23" x14ac:dyDescent="0.35">
      <c r="A8" t="s">
        <v>30</v>
      </c>
      <c r="B8" t="s">
        <v>20</v>
      </c>
      <c r="C8" s="1">
        <v>44704</v>
      </c>
      <c r="D8" s="1">
        <v>44715</v>
      </c>
      <c r="E8" t="s">
        <v>21</v>
      </c>
      <c r="F8" t="s">
        <v>18</v>
      </c>
      <c r="G8">
        <v>1774</v>
      </c>
      <c r="H8">
        <v>51.37</v>
      </c>
      <c r="I8">
        <v>47.82</v>
      </c>
      <c r="J8">
        <v>96</v>
      </c>
      <c r="K8">
        <f t="shared" si="0"/>
        <v>1678</v>
      </c>
      <c r="L8" t="s">
        <v>27</v>
      </c>
      <c r="M8" s="1">
        <f t="shared" si="1"/>
        <v>44715</v>
      </c>
      <c r="N8" t="str">
        <f t="shared" ca="1" si="2"/>
        <v>Net 30</v>
      </c>
      <c r="O8">
        <f t="shared" ca="1" si="3"/>
        <v>30</v>
      </c>
      <c r="P8" s="1">
        <f t="shared" ca="1" si="4"/>
        <v>44745</v>
      </c>
      <c r="Q8" s="1">
        <f t="shared" ca="1" si="5"/>
        <v>44752</v>
      </c>
      <c r="R8">
        <f t="shared" ca="1" si="6"/>
        <v>37</v>
      </c>
      <c r="S8" t="str">
        <f t="shared" ca="1" si="7"/>
        <v>Late</v>
      </c>
      <c r="T8" t="str">
        <f t="shared" ca="1" si="8"/>
        <v>31-60</v>
      </c>
      <c r="U8">
        <f t="shared" ca="1" si="9"/>
        <v>7</v>
      </c>
      <c r="V8" t="str">
        <f t="shared" ca="1" si="10"/>
        <v>Inefficient</v>
      </c>
      <c r="W8">
        <f t="shared" si="11"/>
        <v>84832.680000000008</v>
      </c>
    </row>
    <row r="9" spans="1:23" x14ac:dyDescent="0.35">
      <c r="A9" t="s">
        <v>31</v>
      </c>
      <c r="B9" t="s">
        <v>12</v>
      </c>
      <c r="C9" s="1">
        <v>44666</v>
      </c>
      <c r="D9" s="1">
        <v>44680</v>
      </c>
      <c r="E9" t="s">
        <v>21</v>
      </c>
      <c r="F9" t="s">
        <v>18</v>
      </c>
      <c r="G9">
        <v>1094</v>
      </c>
      <c r="H9">
        <v>36.93</v>
      </c>
      <c r="I9">
        <v>32.78</v>
      </c>
      <c r="J9">
        <v>22</v>
      </c>
      <c r="K9">
        <f t="shared" si="0"/>
        <v>1072</v>
      </c>
      <c r="L9" t="s">
        <v>15</v>
      </c>
      <c r="M9" s="1">
        <f t="shared" si="1"/>
        <v>44680</v>
      </c>
      <c r="N9" t="str">
        <f t="shared" ca="1" si="2"/>
        <v>Net 30</v>
      </c>
      <c r="O9">
        <f t="shared" ca="1" si="3"/>
        <v>30</v>
      </c>
      <c r="P9" s="1">
        <f t="shared" ca="1" si="4"/>
        <v>44710</v>
      </c>
      <c r="Q9" s="1">
        <f t="shared" ca="1" si="5"/>
        <v>44718</v>
      </c>
      <c r="R9">
        <f t="shared" ca="1" si="6"/>
        <v>38</v>
      </c>
      <c r="S9" t="str">
        <f t="shared" ca="1" si="7"/>
        <v>Late</v>
      </c>
      <c r="T9" t="str">
        <f t="shared" ca="1" si="8"/>
        <v>31-60</v>
      </c>
      <c r="U9">
        <f t="shared" ca="1" si="9"/>
        <v>8</v>
      </c>
      <c r="V9" t="str">
        <f t="shared" ca="1" si="10"/>
        <v>Inefficient</v>
      </c>
      <c r="W9">
        <f t="shared" si="11"/>
        <v>35861.32</v>
      </c>
    </row>
    <row r="10" spans="1:23" x14ac:dyDescent="0.35">
      <c r="A10" t="s">
        <v>32</v>
      </c>
      <c r="B10" t="s">
        <v>20</v>
      </c>
      <c r="C10" s="1">
        <v>45254</v>
      </c>
      <c r="D10" s="1">
        <v>45258</v>
      </c>
      <c r="E10" t="s">
        <v>26</v>
      </c>
      <c r="F10" t="s">
        <v>33</v>
      </c>
      <c r="G10">
        <v>1688</v>
      </c>
      <c r="H10">
        <v>43.93</v>
      </c>
      <c r="I10">
        <v>39.89</v>
      </c>
      <c r="J10">
        <v>89</v>
      </c>
      <c r="K10">
        <f t="shared" si="0"/>
        <v>1599</v>
      </c>
      <c r="L10" t="s">
        <v>15</v>
      </c>
      <c r="M10" s="1">
        <f t="shared" si="1"/>
        <v>45258</v>
      </c>
      <c r="N10" t="str">
        <f t="shared" ca="1" si="2"/>
        <v>Net 15</v>
      </c>
      <c r="O10">
        <f t="shared" ca="1" si="3"/>
        <v>15</v>
      </c>
      <c r="P10" s="1">
        <f t="shared" ca="1" si="4"/>
        <v>45273</v>
      </c>
      <c r="Q10" s="1">
        <f t="shared" ca="1" si="5"/>
        <v>45282</v>
      </c>
      <c r="R10">
        <f t="shared" ca="1" si="6"/>
        <v>24</v>
      </c>
      <c r="S10" t="str">
        <f t="shared" ca="1" si="7"/>
        <v>Late</v>
      </c>
      <c r="T10" t="str">
        <f t="shared" ca="1" si="8"/>
        <v>0-30</v>
      </c>
      <c r="U10">
        <f t="shared" ca="1" si="9"/>
        <v>9</v>
      </c>
      <c r="V10" t="str">
        <f t="shared" ca="1" si="10"/>
        <v>Inefficient</v>
      </c>
      <c r="W10">
        <f t="shared" si="11"/>
        <v>67334.320000000007</v>
      </c>
    </row>
    <row r="11" spans="1:23" x14ac:dyDescent="0.35">
      <c r="A11" t="s">
        <v>34</v>
      </c>
      <c r="B11" t="s">
        <v>20</v>
      </c>
      <c r="C11" s="1">
        <v>45120</v>
      </c>
      <c r="D11" s="1">
        <v>45132</v>
      </c>
      <c r="E11" t="s">
        <v>26</v>
      </c>
      <c r="F11" t="s">
        <v>35</v>
      </c>
      <c r="G11">
        <v>171</v>
      </c>
      <c r="H11">
        <v>76.87</v>
      </c>
      <c r="I11">
        <v>70.2</v>
      </c>
      <c r="J11">
        <v>8</v>
      </c>
      <c r="K11">
        <f t="shared" si="0"/>
        <v>163</v>
      </c>
      <c r="L11" t="s">
        <v>15</v>
      </c>
      <c r="M11" s="1">
        <f t="shared" si="1"/>
        <v>45132</v>
      </c>
      <c r="N11" t="str">
        <f t="shared" ca="1" si="2"/>
        <v>Net 45</v>
      </c>
      <c r="O11">
        <f t="shared" ca="1" si="3"/>
        <v>45</v>
      </c>
      <c r="P11" s="1">
        <f t="shared" ca="1" si="4"/>
        <v>45177</v>
      </c>
      <c r="Q11" s="1">
        <f t="shared" ca="1" si="5"/>
        <v>45188</v>
      </c>
      <c r="R11">
        <f t="shared" ca="1" si="6"/>
        <v>56</v>
      </c>
      <c r="S11" t="str">
        <f t="shared" ca="1" si="7"/>
        <v>Late</v>
      </c>
      <c r="T11" t="str">
        <f t="shared" ca="1" si="8"/>
        <v>31-60</v>
      </c>
      <c r="U11">
        <f t="shared" ca="1" si="9"/>
        <v>11</v>
      </c>
      <c r="V11" t="str">
        <f t="shared" ca="1" si="10"/>
        <v>Inefficient</v>
      </c>
      <c r="W11">
        <f t="shared" si="11"/>
        <v>12004.2</v>
      </c>
    </row>
    <row r="12" spans="1:23" x14ac:dyDescent="0.35">
      <c r="A12" t="s">
        <v>36</v>
      </c>
      <c r="B12" t="s">
        <v>29</v>
      </c>
      <c r="C12" s="1">
        <v>44651</v>
      </c>
      <c r="D12" s="1">
        <v>44666</v>
      </c>
      <c r="E12" t="s">
        <v>26</v>
      </c>
      <c r="F12" t="s">
        <v>18</v>
      </c>
      <c r="G12">
        <v>5000</v>
      </c>
      <c r="H12">
        <v>78.489999999999995</v>
      </c>
      <c r="I12">
        <v>73.680000000000007</v>
      </c>
      <c r="J12">
        <v>18</v>
      </c>
      <c r="K12">
        <f t="shared" si="0"/>
        <v>4982</v>
      </c>
      <c r="L12" t="s">
        <v>15</v>
      </c>
      <c r="M12" s="1">
        <f t="shared" si="1"/>
        <v>44666</v>
      </c>
      <c r="N12" t="str">
        <f t="shared" ca="1" si="2"/>
        <v>Net 45</v>
      </c>
      <c r="O12">
        <f t="shared" ca="1" si="3"/>
        <v>45</v>
      </c>
      <c r="P12" s="1">
        <f t="shared" ca="1" si="4"/>
        <v>44711</v>
      </c>
      <c r="Q12" s="1">
        <f t="shared" ca="1" si="5"/>
        <v>44719</v>
      </c>
      <c r="R12">
        <f t="shared" ca="1" si="6"/>
        <v>53</v>
      </c>
      <c r="S12" t="str">
        <f t="shared" ca="1" si="7"/>
        <v>Late</v>
      </c>
      <c r="T12" t="str">
        <f t="shared" ca="1" si="8"/>
        <v>31-60</v>
      </c>
      <c r="U12">
        <f t="shared" ca="1" si="9"/>
        <v>8</v>
      </c>
      <c r="V12" t="str">
        <f t="shared" ca="1" si="10"/>
        <v>Inefficient</v>
      </c>
      <c r="W12">
        <f t="shared" si="11"/>
        <v>368400.00000000006</v>
      </c>
    </row>
    <row r="13" spans="1:23" x14ac:dyDescent="0.35">
      <c r="A13" t="s">
        <v>37</v>
      </c>
      <c r="B13" t="s">
        <v>23</v>
      </c>
      <c r="C13" s="1">
        <v>45166</v>
      </c>
      <c r="D13" s="1">
        <v>45180</v>
      </c>
      <c r="E13" t="s">
        <v>26</v>
      </c>
      <c r="F13" t="s">
        <v>18</v>
      </c>
      <c r="G13">
        <v>5000</v>
      </c>
      <c r="H13">
        <v>88.96</v>
      </c>
      <c r="I13">
        <v>86.58</v>
      </c>
      <c r="J13">
        <v>115</v>
      </c>
      <c r="K13">
        <f t="shared" si="0"/>
        <v>4885</v>
      </c>
      <c r="L13" t="s">
        <v>15</v>
      </c>
      <c r="M13" s="1">
        <f t="shared" si="1"/>
        <v>45180</v>
      </c>
      <c r="N13" t="str">
        <f t="shared" ca="1" si="2"/>
        <v>Net 45</v>
      </c>
      <c r="O13">
        <f t="shared" ca="1" si="3"/>
        <v>45</v>
      </c>
      <c r="P13" s="1">
        <f t="shared" ca="1" si="4"/>
        <v>45225</v>
      </c>
      <c r="Q13" s="1">
        <f t="shared" ca="1" si="5"/>
        <v>45226</v>
      </c>
      <c r="R13">
        <f t="shared" ca="1" si="6"/>
        <v>46</v>
      </c>
      <c r="S13" t="str">
        <f t="shared" ca="1" si="7"/>
        <v>Late</v>
      </c>
      <c r="T13" t="str">
        <f t="shared" ca="1" si="8"/>
        <v>31-60</v>
      </c>
      <c r="U13">
        <f t="shared" ca="1" si="9"/>
        <v>1</v>
      </c>
      <c r="V13" t="str">
        <f t="shared" ca="1" si="10"/>
        <v>Inefficient</v>
      </c>
      <c r="W13">
        <f t="shared" si="11"/>
        <v>432900</v>
      </c>
    </row>
    <row r="14" spans="1:23" x14ac:dyDescent="0.35">
      <c r="A14" t="s">
        <v>38</v>
      </c>
      <c r="B14" t="s">
        <v>23</v>
      </c>
      <c r="C14" s="1">
        <v>44994</v>
      </c>
      <c r="D14" s="1">
        <v>45011</v>
      </c>
      <c r="E14" t="s">
        <v>39</v>
      </c>
      <c r="F14" t="s">
        <v>35</v>
      </c>
      <c r="G14">
        <v>5000</v>
      </c>
      <c r="H14">
        <v>86.74</v>
      </c>
      <c r="I14">
        <v>74.86</v>
      </c>
      <c r="J14">
        <v>51</v>
      </c>
      <c r="K14">
        <f t="shared" si="0"/>
        <v>4949</v>
      </c>
      <c r="L14" t="s">
        <v>15</v>
      </c>
      <c r="M14" s="1">
        <f t="shared" si="1"/>
        <v>45011</v>
      </c>
      <c r="N14" t="str">
        <f t="shared" ca="1" si="2"/>
        <v>Net 45</v>
      </c>
      <c r="O14">
        <f t="shared" ca="1" si="3"/>
        <v>45</v>
      </c>
      <c r="P14" s="1">
        <f t="shared" ca="1" si="4"/>
        <v>45056</v>
      </c>
      <c r="Q14" s="1">
        <f t="shared" ca="1" si="5"/>
        <v>45067</v>
      </c>
      <c r="R14">
        <f t="shared" ca="1" si="6"/>
        <v>56</v>
      </c>
      <c r="S14" t="str">
        <f t="shared" ca="1" si="7"/>
        <v>Late</v>
      </c>
      <c r="T14" t="str">
        <f t="shared" ca="1" si="8"/>
        <v>31-60</v>
      </c>
      <c r="U14">
        <f t="shared" ca="1" si="9"/>
        <v>11</v>
      </c>
      <c r="V14" t="str">
        <f t="shared" ca="1" si="10"/>
        <v>Inefficient</v>
      </c>
      <c r="W14">
        <f t="shared" si="11"/>
        <v>374300</v>
      </c>
    </row>
    <row r="15" spans="1:23" x14ac:dyDescent="0.35">
      <c r="A15" t="s">
        <v>40</v>
      </c>
      <c r="B15" t="s">
        <v>23</v>
      </c>
      <c r="C15" s="1">
        <v>44594</v>
      </c>
      <c r="E15" t="s">
        <v>21</v>
      </c>
      <c r="F15" t="s">
        <v>18</v>
      </c>
      <c r="G15">
        <v>5000</v>
      </c>
      <c r="H15">
        <v>18.3</v>
      </c>
      <c r="I15">
        <v>16.88</v>
      </c>
      <c r="K15">
        <f t="shared" si="0"/>
        <v>5000</v>
      </c>
      <c r="L15" t="s">
        <v>15</v>
      </c>
      <c r="M15" s="1">
        <f t="shared" si="1"/>
        <v>0</v>
      </c>
      <c r="N15" t="str">
        <f t="shared" ca="1" si="2"/>
        <v>Net 30</v>
      </c>
      <c r="O15">
        <f t="shared" ca="1" si="3"/>
        <v>30</v>
      </c>
      <c r="P15" s="1">
        <f t="shared" ca="1" si="4"/>
        <v>30</v>
      </c>
      <c r="Q15" s="1">
        <f t="shared" ca="1" si="5"/>
        <v>26</v>
      </c>
      <c r="R15">
        <f t="shared" ca="1" si="6"/>
        <v>26</v>
      </c>
      <c r="S15" t="str">
        <f t="shared" ca="1" si="7"/>
        <v>On Time</v>
      </c>
      <c r="T15" t="str">
        <f t="shared" ca="1" si="8"/>
        <v>0-30</v>
      </c>
      <c r="U15">
        <f t="shared" ca="1" si="9"/>
        <v>0</v>
      </c>
      <c r="V15" t="str">
        <f t="shared" ca="1" si="10"/>
        <v>Efficient</v>
      </c>
      <c r="W15">
        <f t="shared" si="11"/>
        <v>84400</v>
      </c>
    </row>
    <row r="16" spans="1:23" x14ac:dyDescent="0.35">
      <c r="A16" t="s">
        <v>41</v>
      </c>
      <c r="B16" t="s">
        <v>17</v>
      </c>
      <c r="C16" s="1">
        <v>44592</v>
      </c>
      <c r="D16" s="1">
        <v>44610</v>
      </c>
      <c r="E16" t="s">
        <v>39</v>
      </c>
      <c r="F16" t="s">
        <v>35</v>
      </c>
      <c r="G16">
        <v>5000</v>
      </c>
      <c r="H16">
        <v>54.5</v>
      </c>
      <c r="I16">
        <v>48.45</v>
      </c>
      <c r="J16">
        <v>22</v>
      </c>
      <c r="K16">
        <f t="shared" si="0"/>
        <v>4978</v>
      </c>
      <c r="L16" t="s">
        <v>15</v>
      </c>
      <c r="M16" s="1">
        <f t="shared" si="1"/>
        <v>44610</v>
      </c>
      <c r="N16" t="str">
        <f t="shared" ca="1" si="2"/>
        <v>Net 45</v>
      </c>
      <c r="O16">
        <f t="shared" ca="1" si="3"/>
        <v>45</v>
      </c>
      <c r="P16" s="1">
        <f t="shared" ca="1" si="4"/>
        <v>44655</v>
      </c>
      <c r="Q16" s="1">
        <f t="shared" ca="1" si="5"/>
        <v>44663</v>
      </c>
      <c r="R16">
        <f t="shared" ca="1" si="6"/>
        <v>53</v>
      </c>
      <c r="S16" t="str">
        <f t="shared" ca="1" si="7"/>
        <v>Late</v>
      </c>
      <c r="T16" t="str">
        <f t="shared" ca="1" si="8"/>
        <v>31-60</v>
      </c>
      <c r="U16">
        <f t="shared" ca="1" si="9"/>
        <v>8</v>
      </c>
      <c r="V16" t="str">
        <f t="shared" ca="1" si="10"/>
        <v>Inefficient</v>
      </c>
      <c r="W16">
        <f t="shared" si="11"/>
        <v>242250</v>
      </c>
    </row>
    <row r="17" spans="1:23" x14ac:dyDescent="0.35">
      <c r="A17" t="s">
        <v>42</v>
      </c>
      <c r="B17" t="s">
        <v>23</v>
      </c>
      <c r="C17" s="1">
        <v>44657</v>
      </c>
      <c r="D17" s="1">
        <v>44672</v>
      </c>
      <c r="E17" t="s">
        <v>24</v>
      </c>
      <c r="F17" t="s">
        <v>18</v>
      </c>
      <c r="G17">
        <v>5000</v>
      </c>
      <c r="H17">
        <v>15.41</v>
      </c>
      <c r="I17">
        <v>15.12</v>
      </c>
      <c r="K17">
        <f t="shared" si="0"/>
        <v>5000</v>
      </c>
      <c r="L17" t="s">
        <v>15</v>
      </c>
      <c r="M17" s="1">
        <f t="shared" si="1"/>
        <v>44672</v>
      </c>
      <c r="N17" t="str">
        <f t="shared" ca="1" si="2"/>
        <v>Net 30</v>
      </c>
      <c r="O17">
        <f t="shared" ca="1" si="3"/>
        <v>30</v>
      </c>
      <c r="P17" s="1">
        <f t="shared" ca="1" si="4"/>
        <v>44702</v>
      </c>
      <c r="Q17" s="1">
        <f t="shared" ca="1" si="5"/>
        <v>44717</v>
      </c>
      <c r="R17">
        <f t="shared" ca="1" si="6"/>
        <v>45</v>
      </c>
      <c r="S17" t="str">
        <f t="shared" ca="1" si="7"/>
        <v>Late</v>
      </c>
      <c r="T17" t="str">
        <f t="shared" ca="1" si="8"/>
        <v>31-60</v>
      </c>
      <c r="U17">
        <f t="shared" ca="1" si="9"/>
        <v>15</v>
      </c>
      <c r="V17" t="str">
        <f t="shared" ca="1" si="10"/>
        <v>Inefficient</v>
      </c>
      <c r="W17">
        <f t="shared" si="11"/>
        <v>75600</v>
      </c>
    </row>
    <row r="18" spans="1:23" x14ac:dyDescent="0.35">
      <c r="A18" t="s">
        <v>43</v>
      </c>
      <c r="B18" t="s">
        <v>17</v>
      </c>
      <c r="C18" s="1">
        <v>44785</v>
      </c>
      <c r="D18" s="1">
        <v>44804</v>
      </c>
      <c r="E18" t="s">
        <v>21</v>
      </c>
      <c r="F18" t="s">
        <v>18</v>
      </c>
      <c r="G18">
        <v>1173</v>
      </c>
      <c r="H18">
        <v>61.54</v>
      </c>
      <c r="I18">
        <v>55.49</v>
      </c>
      <c r="J18">
        <v>172</v>
      </c>
      <c r="K18">
        <f t="shared" si="0"/>
        <v>1001</v>
      </c>
      <c r="L18" t="s">
        <v>27</v>
      </c>
      <c r="M18" s="1">
        <f t="shared" si="1"/>
        <v>44804</v>
      </c>
      <c r="N18" t="str">
        <f t="shared" ca="1" si="2"/>
        <v>Net 30</v>
      </c>
      <c r="O18">
        <f t="shared" ca="1" si="3"/>
        <v>30</v>
      </c>
      <c r="P18" s="1">
        <f t="shared" ca="1" si="4"/>
        <v>44834</v>
      </c>
      <c r="Q18" s="1">
        <f t="shared" ca="1" si="5"/>
        <v>44834</v>
      </c>
      <c r="R18">
        <f t="shared" ca="1" si="6"/>
        <v>30</v>
      </c>
      <c r="S18" t="str">
        <f t="shared" ca="1" si="7"/>
        <v>On Time</v>
      </c>
      <c r="T18" t="str">
        <f t="shared" ca="1" si="8"/>
        <v>0-30</v>
      </c>
      <c r="U18">
        <f t="shared" ca="1" si="9"/>
        <v>0</v>
      </c>
      <c r="V18" t="str">
        <f t="shared" ca="1" si="10"/>
        <v>Efficient</v>
      </c>
      <c r="W18">
        <f t="shared" si="11"/>
        <v>65089.770000000004</v>
      </c>
    </row>
    <row r="19" spans="1:23" x14ac:dyDescent="0.35">
      <c r="A19" t="s">
        <v>44</v>
      </c>
      <c r="B19" t="s">
        <v>29</v>
      </c>
      <c r="C19" s="1">
        <v>44800</v>
      </c>
      <c r="D19" s="1">
        <v>44808</v>
      </c>
      <c r="E19" t="s">
        <v>26</v>
      </c>
      <c r="F19" t="s">
        <v>18</v>
      </c>
      <c r="G19">
        <v>921</v>
      </c>
      <c r="H19">
        <v>51.48</v>
      </c>
      <c r="I19">
        <v>50.61</v>
      </c>
      <c r="K19">
        <f t="shared" si="0"/>
        <v>921</v>
      </c>
      <c r="L19" t="s">
        <v>15</v>
      </c>
      <c r="M19" s="1">
        <f t="shared" si="1"/>
        <v>44808</v>
      </c>
      <c r="N19" t="str">
        <f t="shared" ca="1" si="2"/>
        <v>Net 45</v>
      </c>
      <c r="O19">
        <f t="shared" ca="1" si="3"/>
        <v>45</v>
      </c>
      <c r="P19" s="1">
        <f t="shared" ca="1" si="4"/>
        <v>44853</v>
      </c>
      <c r="Q19" s="1">
        <f t="shared" ca="1" si="5"/>
        <v>44868</v>
      </c>
      <c r="R19">
        <f t="shared" ca="1" si="6"/>
        <v>60</v>
      </c>
      <c r="S19" t="str">
        <f t="shared" ca="1" si="7"/>
        <v>Late</v>
      </c>
      <c r="T19" t="str">
        <f t="shared" ca="1" si="8"/>
        <v>31-60</v>
      </c>
      <c r="U19">
        <f t="shared" ca="1" si="9"/>
        <v>15</v>
      </c>
      <c r="V19" t="str">
        <f t="shared" ca="1" si="10"/>
        <v>Inefficient</v>
      </c>
      <c r="W19">
        <f t="shared" si="11"/>
        <v>46611.81</v>
      </c>
    </row>
    <row r="20" spans="1:23" x14ac:dyDescent="0.35">
      <c r="A20" t="s">
        <v>45</v>
      </c>
      <c r="B20" t="s">
        <v>20</v>
      </c>
      <c r="C20" s="1">
        <v>45079</v>
      </c>
      <c r="D20" s="1">
        <v>45082</v>
      </c>
      <c r="E20" t="s">
        <v>26</v>
      </c>
      <c r="F20" t="s">
        <v>33</v>
      </c>
      <c r="G20">
        <v>1737</v>
      </c>
      <c r="H20">
        <v>97.53</v>
      </c>
      <c r="I20">
        <v>87.37</v>
      </c>
      <c r="J20">
        <v>79</v>
      </c>
      <c r="K20">
        <f t="shared" si="0"/>
        <v>1658</v>
      </c>
      <c r="L20" t="s">
        <v>15</v>
      </c>
      <c r="M20" s="1">
        <f t="shared" si="1"/>
        <v>45082</v>
      </c>
      <c r="N20" t="str">
        <f t="shared" ca="1" si="2"/>
        <v>Net 15</v>
      </c>
      <c r="O20">
        <f t="shared" ca="1" si="3"/>
        <v>15</v>
      </c>
      <c r="P20" s="1">
        <f t="shared" ca="1" si="4"/>
        <v>45097</v>
      </c>
      <c r="Q20" s="1">
        <f t="shared" ca="1" si="5"/>
        <v>45116</v>
      </c>
      <c r="R20">
        <f t="shared" ca="1" si="6"/>
        <v>34</v>
      </c>
      <c r="S20" t="str">
        <f t="shared" ca="1" si="7"/>
        <v>Late</v>
      </c>
      <c r="T20" t="str">
        <f t="shared" ca="1" si="8"/>
        <v>31-60</v>
      </c>
      <c r="U20">
        <f t="shared" ca="1" si="9"/>
        <v>19</v>
      </c>
      <c r="V20" t="str">
        <f t="shared" ca="1" si="10"/>
        <v>Inefficient</v>
      </c>
      <c r="W20">
        <f t="shared" si="11"/>
        <v>151761.69</v>
      </c>
    </row>
    <row r="21" spans="1:23" x14ac:dyDescent="0.35">
      <c r="A21" t="s">
        <v>46</v>
      </c>
      <c r="B21" t="s">
        <v>17</v>
      </c>
      <c r="C21" s="1">
        <v>45178</v>
      </c>
      <c r="D21" s="1">
        <v>45193</v>
      </c>
      <c r="E21" t="s">
        <v>26</v>
      </c>
      <c r="F21" t="s">
        <v>18</v>
      </c>
      <c r="G21">
        <v>180</v>
      </c>
      <c r="H21">
        <v>45.74</v>
      </c>
      <c r="I21">
        <v>38.89</v>
      </c>
      <c r="K21">
        <f t="shared" si="0"/>
        <v>180</v>
      </c>
      <c r="L21" t="s">
        <v>27</v>
      </c>
      <c r="M21" s="1">
        <f t="shared" si="1"/>
        <v>45193</v>
      </c>
      <c r="N21" t="str">
        <f t="shared" ca="1" si="2"/>
        <v>Net 45</v>
      </c>
      <c r="O21">
        <f t="shared" ca="1" si="3"/>
        <v>45</v>
      </c>
      <c r="P21" s="1">
        <f t="shared" ca="1" si="4"/>
        <v>45238</v>
      </c>
      <c r="Q21" s="1">
        <f t="shared" ca="1" si="5"/>
        <v>45247</v>
      </c>
      <c r="R21">
        <f t="shared" ca="1" si="6"/>
        <v>54</v>
      </c>
      <c r="S21" t="str">
        <f t="shared" ca="1" si="7"/>
        <v>Late</v>
      </c>
      <c r="T21" t="str">
        <f t="shared" ca="1" si="8"/>
        <v>31-60</v>
      </c>
      <c r="U21">
        <f t="shared" ca="1" si="9"/>
        <v>9</v>
      </c>
      <c r="V21" t="str">
        <f t="shared" ca="1" si="10"/>
        <v>Inefficient</v>
      </c>
      <c r="W21">
        <f t="shared" si="11"/>
        <v>7000.2</v>
      </c>
    </row>
    <row r="22" spans="1:23" x14ac:dyDescent="0.35">
      <c r="A22" t="s">
        <v>47</v>
      </c>
      <c r="B22" t="s">
        <v>29</v>
      </c>
      <c r="C22" s="1">
        <v>44589</v>
      </c>
      <c r="D22" s="1">
        <v>44604</v>
      </c>
      <c r="E22" t="s">
        <v>39</v>
      </c>
      <c r="F22" t="s">
        <v>14</v>
      </c>
      <c r="G22">
        <v>1735</v>
      </c>
      <c r="H22">
        <v>20.54</v>
      </c>
      <c r="I22">
        <v>19.690000000000001</v>
      </c>
      <c r="J22">
        <v>49</v>
      </c>
      <c r="K22">
        <f t="shared" si="0"/>
        <v>1686</v>
      </c>
      <c r="L22" t="s">
        <v>15</v>
      </c>
      <c r="M22" s="1">
        <f t="shared" si="1"/>
        <v>44604</v>
      </c>
      <c r="N22" t="str">
        <f t="shared" ca="1" si="2"/>
        <v>Net 30</v>
      </c>
      <c r="O22">
        <f t="shared" ca="1" si="3"/>
        <v>30</v>
      </c>
      <c r="P22" s="1">
        <f t="shared" ca="1" si="4"/>
        <v>44634</v>
      </c>
      <c r="Q22" s="1">
        <f t="shared" ca="1" si="5"/>
        <v>44639</v>
      </c>
      <c r="R22">
        <f t="shared" ca="1" si="6"/>
        <v>35</v>
      </c>
      <c r="S22" t="str">
        <f t="shared" ca="1" si="7"/>
        <v>Late</v>
      </c>
      <c r="T22" t="str">
        <f t="shared" ca="1" si="8"/>
        <v>31-60</v>
      </c>
      <c r="U22">
        <f t="shared" ca="1" si="9"/>
        <v>5</v>
      </c>
      <c r="V22" t="str">
        <f t="shared" ca="1" si="10"/>
        <v>Inefficient</v>
      </c>
      <c r="W22">
        <f t="shared" si="11"/>
        <v>34162.15</v>
      </c>
    </row>
    <row r="23" spans="1:23" x14ac:dyDescent="0.35">
      <c r="A23" t="s">
        <v>48</v>
      </c>
      <c r="B23" t="s">
        <v>17</v>
      </c>
      <c r="C23" s="1">
        <v>45136</v>
      </c>
      <c r="D23" s="1">
        <v>45149</v>
      </c>
      <c r="E23" t="s">
        <v>26</v>
      </c>
      <c r="F23" t="s">
        <v>18</v>
      </c>
      <c r="G23">
        <v>1382</v>
      </c>
      <c r="H23">
        <v>24.93</v>
      </c>
      <c r="I23">
        <v>23.75</v>
      </c>
      <c r="K23">
        <f t="shared" si="0"/>
        <v>1382</v>
      </c>
      <c r="L23" t="s">
        <v>15</v>
      </c>
      <c r="M23" s="1">
        <f t="shared" si="1"/>
        <v>45149</v>
      </c>
      <c r="N23" t="str">
        <f t="shared" ca="1" si="2"/>
        <v>Net 30</v>
      </c>
      <c r="O23">
        <f t="shared" ca="1" si="3"/>
        <v>30</v>
      </c>
      <c r="P23" s="1">
        <f t="shared" ca="1" si="4"/>
        <v>45179</v>
      </c>
      <c r="Q23" s="1">
        <f t="shared" ca="1" si="5"/>
        <v>45177</v>
      </c>
      <c r="R23">
        <f t="shared" ca="1" si="6"/>
        <v>28</v>
      </c>
      <c r="S23" t="str">
        <f t="shared" ca="1" si="7"/>
        <v>On Time</v>
      </c>
      <c r="T23" t="str">
        <f t="shared" ca="1" si="8"/>
        <v>0-30</v>
      </c>
      <c r="U23">
        <f t="shared" ca="1" si="9"/>
        <v>0</v>
      </c>
      <c r="V23" t="str">
        <f t="shared" ca="1" si="10"/>
        <v>Efficient</v>
      </c>
      <c r="W23">
        <f t="shared" si="11"/>
        <v>32822.5</v>
      </c>
    </row>
    <row r="24" spans="1:23" x14ac:dyDescent="0.35">
      <c r="A24" t="s">
        <v>49</v>
      </c>
      <c r="B24" t="s">
        <v>29</v>
      </c>
      <c r="C24" s="1">
        <v>44765</v>
      </c>
      <c r="D24" s="1">
        <v>44781</v>
      </c>
      <c r="E24" t="s">
        <v>21</v>
      </c>
      <c r="F24" t="s">
        <v>18</v>
      </c>
      <c r="G24">
        <v>819</v>
      </c>
      <c r="H24">
        <v>80.89</v>
      </c>
      <c r="I24">
        <v>77.03</v>
      </c>
      <c r="J24">
        <v>29</v>
      </c>
      <c r="K24">
        <f t="shared" si="0"/>
        <v>790</v>
      </c>
      <c r="L24" t="s">
        <v>15</v>
      </c>
      <c r="M24" s="1">
        <f t="shared" si="1"/>
        <v>44781</v>
      </c>
      <c r="N24" t="str">
        <f t="shared" ca="1" si="2"/>
        <v>Net 30</v>
      </c>
      <c r="O24">
        <f t="shared" ca="1" si="3"/>
        <v>30</v>
      </c>
      <c r="P24" s="1">
        <f t="shared" ca="1" si="4"/>
        <v>44811</v>
      </c>
      <c r="Q24" s="1">
        <f t="shared" ca="1" si="5"/>
        <v>44808</v>
      </c>
      <c r="R24">
        <f t="shared" ca="1" si="6"/>
        <v>27</v>
      </c>
      <c r="S24" t="str">
        <f t="shared" ca="1" si="7"/>
        <v>On Time</v>
      </c>
      <c r="T24" t="str">
        <f t="shared" ca="1" si="8"/>
        <v>0-30</v>
      </c>
      <c r="U24">
        <f t="shared" ca="1" si="9"/>
        <v>0</v>
      </c>
      <c r="V24" t="str">
        <f t="shared" ca="1" si="10"/>
        <v>Efficient</v>
      </c>
      <c r="W24">
        <f t="shared" si="11"/>
        <v>63087.57</v>
      </c>
    </row>
    <row r="25" spans="1:23" x14ac:dyDescent="0.35">
      <c r="A25" t="s">
        <v>50</v>
      </c>
      <c r="B25" t="s">
        <v>23</v>
      </c>
      <c r="C25" s="1">
        <v>45227</v>
      </c>
      <c r="D25" s="1">
        <v>45233</v>
      </c>
      <c r="E25" t="s">
        <v>13</v>
      </c>
      <c r="F25" t="s">
        <v>33</v>
      </c>
      <c r="G25">
        <v>393</v>
      </c>
      <c r="H25">
        <v>72.53</v>
      </c>
      <c r="I25">
        <v>66.31</v>
      </c>
      <c r="J25">
        <v>42</v>
      </c>
      <c r="K25">
        <f t="shared" si="0"/>
        <v>351</v>
      </c>
      <c r="L25" t="s">
        <v>27</v>
      </c>
      <c r="M25" s="1">
        <f t="shared" si="1"/>
        <v>45233</v>
      </c>
      <c r="N25" t="str">
        <f t="shared" ca="1" si="2"/>
        <v>Net 30</v>
      </c>
      <c r="O25">
        <f t="shared" ca="1" si="3"/>
        <v>30</v>
      </c>
      <c r="P25" s="1">
        <f t="shared" ca="1" si="4"/>
        <v>45263</v>
      </c>
      <c r="Q25" s="1">
        <f t="shared" ca="1" si="5"/>
        <v>45259</v>
      </c>
      <c r="R25">
        <f t="shared" ca="1" si="6"/>
        <v>26</v>
      </c>
      <c r="S25" t="str">
        <f t="shared" ca="1" si="7"/>
        <v>On Time</v>
      </c>
      <c r="T25" t="str">
        <f t="shared" ca="1" si="8"/>
        <v>0-30</v>
      </c>
      <c r="U25">
        <f t="shared" ca="1" si="9"/>
        <v>0</v>
      </c>
      <c r="V25" t="str">
        <f t="shared" ca="1" si="10"/>
        <v>Efficient</v>
      </c>
      <c r="W25">
        <f t="shared" si="11"/>
        <v>26059.83</v>
      </c>
    </row>
    <row r="26" spans="1:23" x14ac:dyDescent="0.35">
      <c r="A26" t="s">
        <v>51</v>
      </c>
      <c r="B26" t="s">
        <v>23</v>
      </c>
      <c r="C26" s="1">
        <v>45280</v>
      </c>
      <c r="D26" s="1">
        <v>45292</v>
      </c>
      <c r="E26" t="s">
        <v>21</v>
      </c>
      <c r="F26" t="s">
        <v>18</v>
      </c>
      <c r="G26">
        <v>1565</v>
      </c>
      <c r="H26">
        <v>21.3</v>
      </c>
      <c r="I26">
        <v>20.09</v>
      </c>
      <c r="J26">
        <v>161</v>
      </c>
      <c r="K26">
        <f t="shared" si="0"/>
        <v>1404</v>
      </c>
      <c r="L26" t="s">
        <v>15</v>
      </c>
      <c r="M26" s="1">
        <f t="shared" si="1"/>
        <v>45292</v>
      </c>
      <c r="N26" t="str">
        <f t="shared" ca="1" si="2"/>
        <v>Net 30</v>
      </c>
      <c r="O26">
        <f t="shared" ca="1" si="3"/>
        <v>30</v>
      </c>
      <c r="P26" s="1">
        <f t="shared" ca="1" si="4"/>
        <v>45322</v>
      </c>
      <c r="Q26" s="1">
        <f t="shared" ca="1" si="5"/>
        <v>45318</v>
      </c>
      <c r="R26">
        <f t="shared" ca="1" si="6"/>
        <v>26</v>
      </c>
      <c r="S26" t="str">
        <f t="shared" ca="1" si="7"/>
        <v>On Time</v>
      </c>
      <c r="T26" t="str">
        <f t="shared" ca="1" si="8"/>
        <v>0-30</v>
      </c>
      <c r="U26">
        <f t="shared" ca="1" si="9"/>
        <v>0</v>
      </c>
      <c r="V26" t="str">
        <f t="shared" ca="1" si="10"/>
        <v>Efficient</v>
      </c>
      <c r="W26">
        <f t="shared" si="11"/>
        <v>31440.85</v>
      </c>
    </row>
    <row r="27" spans="1:23" x14ac:dyDescent="0.35">
      <c r="A27" t="s">
        <v>52</v>
      </c>
      <c r="B27" t="s">
        <v>29</v>
      </c>
      <c r="C27" s="1">
        <v>45120</v>
      </c>
      <c r="D27" s="1">
        <v>45131</v>
      </c>
      <c r="E27" t="s">
        <v>24</v>
      </c>
      <c r="F27" t="s">
        <v>18</v>
      </c>
      <c r="G27">
        <v>1487</v>
      </c>
      <c r="H27">
        <v>19.149999999999999</v>
      </c>
      <c r="I27">
        <v>17.239999999999998</v>
      </c>
      <c r="K27">
        <f t="shared" si="0"/>
        <v>1487</v>
      </c>
      <c r="L27" t="s">
        <v>15</v>
      </c>
      <c r="M27" s="1">
        <f t="shared" si="1"/>
        <v>45131</v>
      </c>
      <c r="N27" t="str">
        <f t="shared" ca="1" si="2"/>
        <v>Net 15</v>
      </c>
      <c r="O27">
        <f t="shared" ca="1" si="3"/>
        <v>15</v>
      </c>
      <c r="P27" s="1">
        <f t="shared" ca="1" si="4"/>
        <v>45146</v>
      </c>
      <c r="Q27" s="1">
        <f t="shared" ca="1" si="5"/>
        <v>45152</v>
      </c>
      <c r="R27">
        <f t="shared" ca="1" si="6"/>
        <v>21</v>
      </c>
      <c r="S27" t="str">
        <f t="shared" ca="1" si="7"/>
        <v>Late</v>
      </c>
      <c r="T27" t="str">
        <f t="shared" ca="1" si="8"/>
        <v>0-30</v>
      </c>
      <c r="U27">
        <f t="shared" ca="1" si="9"/>
        <v>6</v>
      </c>
      <c r="V27" t="str">
        <f t="shared" ca="1" si="10"/>
        <v>Inefficient</v>
      </c>
      <c r="W27">
        <f t="shared" si="11"/>
        <v>25635.879999999997</v>
      </c>
    </row>
    <row r="28" spans="1:23" x14ac:dyDescent="0.35">
      <c r="A28" t="s">
        <v>53</v>
      </c>
      <c r="B28" t="s">
        <v>12</v>
      </c>
      <c r="C28" s="1">
        <v>44991</v>
      </c>
      <c r="D28" s="1">
        <v>45011</v>
      </c>
      <c r="E28" t="s">
        <v>21</v>
      </c>
      <c r="F28" t="s">
        <v>18</v>
      </c>
      <c r="G28">
        <v>855</v>
      </c>
      <c r="H28">
        <v>78.2</v>
      </c>
      <c r="I28">
        <v>67.16</v>
      </c>
      <c r="J28">
        <v>17</v>
      </c>
      <c r="K28">
        <f t="shared" si="0"/>
        <v>838</v>
      </c>
      <c r="L28" t="s">
        <v>15</v>
      </c>
      <c r="M28" s="1">
        <f t="shared" si="1"/>
        <v>45011</v>
      </c>
      <c r="N28" t="str">
        <f t="shared" ca="1" si="2"/>
        <v>Net 30</v>
      </c>
      <c r="O28">
        <f t="shared" ca="1" si="3"/>
        <v>30</v>
      </c>
      <c r="P28" s="1">
        <f t="shared" ca="1" si="4"/>
        <v>45041</v>
      </c>
      <c r="Q28" s="1">
        <f t="shared" ca="1" si="5"/>
        <v>45059</v>
      </c>
      <c r="R28">
        <f t="shared" ca="1" si="6"/>
        <v>48</v>
      </c>
      <c r="S28" t="str">
        <f t="shared" ca="1" si="7"/>
        <v>Late</v>
      </c>
      <c r="T28" t="str">
        <f t="shared" ca="1" si="8"/>
        <v>31-60</v>
      </c>
      <c r="U28">
        <f t="shared" ca="1" si="9"/>
        <v>18</v>
      </c>
      <c r="V28" t="str">
        <f t="shared" ca="1" si="10"/>
        <v>Inefficient</v>
      </c>
      <c r="W28">
        <f t="shared" si="11"/>
        <v>57421.799999999996</v>
      </c>
    </row>
    <row r="29" spans="1:23" x14ac:dyDescent="0.35">
      <c r="A29" t="s">
        <v>54</v>
      </c>
      <c r="B29" t="s">
        <v>29</v>
      </c>
      <c r="C29" s="1">
        <v>44787</v>
      </c>
      <c r="D29" s="1">
        <v>44796</v>
      </c>
      <c r="E29" t="s">
        <v>26</v>
      </c>
      <c r="F29" t="s">
        <v>18</v>
      </c>
      <c r="G29">
        <v>435</v>
      </c>
      <c r="H29">
        <v>17.13</v>
      </c>
      <c r="I29">
        <v>15.84</v>
      </c>
      <c r="J29">
        <v>8</v>
      </c>
      <c r="K29">
        <f t="shared" si="0"/>
        <v>427</v>
      </c>
      <c r="L29" t="s">
        <v>15</v>
      </c>
      <c r="M29" s="1">
        <f t="shared" si="1"/>
        <v>44796</v>
      </c>
      <c r="N29" t="str">
        <f t="shared" ca="1" si="2"/>
        <v>Net 15</v>
      </c>
      <c r="O29">
        <f t="shared" ca="1" si="3"/>
        <v>15</v>
      </c>
      <c r="P29" s="1">
        <f t="shared" ca="1" si="4"/>
        <v>44811</v>
      </c>
      <c r="Q29" s="1">
        <f t="shared" ca="1" si="5"/>
        <v>44819</v>
      </c>
      <c r="R29">
        <f t="shared" ca="1" si="6"/>
        <v>23</v>
      </c>
      <c r="S29" t="str">
        <f t="shared" ca="1" si="7"/>
        <v>Late</v>
      </c>
      <c r="T29" t="str">
        <f t="shared" ca="1" si="8"/>
        <v>0-30</v>
      </c>
      <c r="U29">
        <f t="shared" ca="1" si="9"/>
        <v>8</v>
      </c>
      <c r="V29" t="str">
        <f t="shared" ca="1" si="10"/>
        <v>Inefficient</v>
      </c>
      <c r="W29">
        <f t="shared" si="11"/>
        <v>6890.4</v>
      </c>
    </row>
    <row r="30" spans="1:23" x14ac:dyDescent="0.35">
      <c r="A30" t="s">
        <v>55</v>
      </c>
      <c r="B30" t="s">
        <v>17</v>
      </c>
      <c r="C30" s="1">
        <v>45021</v>
      </c>
      <c r="D30" s="1">
        <v>45038</v>
      </c>
      <c r="E30" t="s">
        <v>21</v>
      </c>
      <c r="F30" t="s">
        <v>18</v>
      </c>
      <c r="G30">
        <v>1265</v>
      </c>
      <c r="H30">
        <v>90.26</v>
      </c>
      <c r="I30">
        <v>79.47</v>
      </c>
      <c r="J30">
        <v>187</v>
      </c>
      <c r="K30">
        <f t="shared" si="0"/>
        <v>1078</v>
      </c>
      <c r="L30" t="s">
        <v>15</v>
      </c>
      <c r="M30" s="1">
        <f t="shared" si="1"/>
        <v>45038</v>
      </c>
      <c r="N30" t="str">
        <f t="shared" ca="1" si="2"/>
        <v>Net 45</v>
      </c>
      <c r="O30">
        <f t="shared" ca="1" si="3"/>
        <v>45</v>
      </c>
      <c r="P30" s="1">
        <f t="shared" ca="1" si="4"/>
        <v>45083</v>
      </c>
      <c r="Q30" s="1">
        <f t="shared" ca="1" si="5"/>
        <v>45085</v>
      </c>
      <c r="R30">
        <f t="shared" ca="1" si="6"/>
        <v>47</v>
      </c>
      <c r="S30" t="str">
        <f t="shared" ca="1" si="7"/>
        <v>Late</v>
      </c>
      <c r="T30" t="str">
        <f t="shared" ca="1" si="8"/>
        <v>31-60</v>
      </c>
      <c r="U30">
        <f t="shared" ca="1" si="9"/>
        <v>2</v>
      </c>
      <c r="V30" t="str">
        <f t="shared" ca="1" si="10"/>
        <v>Inefficient</v>
      </c>
      <c r="W30">
        <f t="shared" si="11"/>
        <v>100529.55</v>
      </c>
    </row>
    <row r="31" spans="1:23" x14ac:dyDescent="0.35">
      <c r="A31" t="s">
        <v>56</v>
      </c>
      <c r="B31" t="s">
        <v>29</v>
      </c>
      <c r="C31" s="1">
        <v>45165</v>
      </c>
      <c r="E31" t="s">
        <v>21</v>
      </c>
      <c r="F31" t="s">
        <v>18</v>
      </c>
      <c r="G31">
        <v>1005</v>
      </c>
      <c r="H31">
        <v>80.55</v>
      </c>
      <c r="I31">
        <v>73.31</v>
      </c>
      <c r="J31">
        <v>30</v>
      </c>
      <c r="K31">
        <f t="shared" si="0"/>
        <v>975</v>
      </c>
      <c r="L31" t="s">
        <v>15</v>
      </c>
      <c r="M31" s="1">
        <f t="shared" si="1"/>
        <v>0</v>
      </c>
      <c r="N31" t="str">
        <f t="shared" ca="1" si="2"/>
        <v>Net 45</v>
      </c>
      <c r="O31">
        <f t="shared" ca="1" si="3"/>
        <v>45</v>
      </c>
      <c r="P31" s="1">
        <f t="shared" ca="1" si="4"/>
        <v>45</v>
      </c>
      <c r="Q31" s="1">
        <f t="shared" ca="1" si="5"/>
        <v>43</v>
      </c>
      <c r="R31">
        <f t="shared" ca="1" si="6"/>
        <v>43</v>
      </c>
      <c r="S31" t="str">
        <f t="shared" ca="1" si="7"/>
        <v>On Time</v>
      </c>
      <c r="T31" t="str">
        <f t="shared" ca="1" si="8"/>
        <v>31-60</v>
      </c>
      <c r="U31">
        <f t="shared" ca="1" si="9"/>
        <v>0</v>
      </c>
      <c r="V31" t="str">
        <f t="shared" ca="1" si="10"/>
        <v>Efficient</v>
      </c>
      <c r="W31">
        <f t="shared" si="11"/>
        <v>73676.55</v>
      </c>
    </row>
    <row r="32" spans="1:23" x14ac:dyDescent="0.35">
      <c r="A32" t="s">
        <v>57</v>
      </c>
      <c r="B32" t="s">
        <v>20</v>
      </c>
      <c r="C32" s="1">
        <v>44846</v>
      </c>
      <c r="D32" s="1">
        <v>44860</v>
      </c>
      <c r="E32" t="s">
        <v>39</v>
      </c>
      <c r="F32" t="s">
        <v>18</v>
      </c>
      <c r="G32">
        <v>326</v>
      </c>
      <c r="H32">
        <v>18.100000000000001</v>
      </c>
      <c r="I32">
        <v>15.92</v>
      </c>
      <c r="K32">
        <f t="shared" si="0"/>
        <v>326</v>
      </c>
      <c r="L32" t="s">
        <v>27</v>
      </c>
      <c r="M32" s="1">
        <f t="shared" si="1"/>
        <v>44860</v>
      </c>
      <c r="N32" t="str">
        <f t="shared" ca="1" si="2"/>
        <v>Net 15</v>
      </c>
      <c r="O32">
        <f t="shared" ca="1" si="3"/>
        <v>15</v>
      </c>
      <c r="P32" s="1">
        <f t="shared" ca="1" si="4"/>
        <v>44875</v>
      </c>
      <c r="Q32" s="1">
        <f t="shared" ca="1" si="5"/>
        <v>44885</v>
      </c>
      <c r="R32">
        <f t="shared" ca="1" si="6"/>
        <v>25</v>
      </c>
      <c r="S32" t="str">
        <f t="shared" ca="1" si="7"/>
        <v>Late</v>
      </c>
      <c r="T32" t="str">
        <f t="shared" ca="1" si="8"/>
        <v>0-30</v>
      </c>
      <c r="U32">
        <f t="shared" ca="1" si="9"/>
        <v>10</v>
      </c>
      <c r="V32" t="str">
        <f t="shared" ca="1" si="10"/>
        <v>Inefficient</v>
      </c>
      <c r="W32">
        <f t="shared" si="11"/>
        <v>5189.92</v>
      </c>
    </row>
    <row r="33" spans="1:23" x14ac:dyDescent="0.35">
      <c r="A33" t="s">
        <v>58</v>
      </c>
      <c r="B33" t="s">
        <v>12</v>
      </c>
      <c r="C33" s="1">
        <v>44568</v>
      </c>
      <c r="D33" s="1">
        <v>44576</v>
      </c>
      <c r="E33" t="s">
        <v>13</v>
      </c>
      <c r="F33" t="s">
        <v>18</v>
      </c>
      <c r="G33">
        <v>1234</v>
      </c>
      <c r="H33">
        <v>17.64</v>
      </c>
      <c r="I33">
        <v>15.66</v>
      </c>
      <c r="J33">
        <v>26</v>
      </c>
      <c r="K33">
        <f t="shared" si="0"/>
        <v>1208</v>
      </c>
      <c r="L33" t="s">
        <v>15</v>
      </c>
      <c r="M33" s="1">
        <f t="shared" si="1"/>
        <v>44576</v>
      </c>
      <c r="N33" t="str">
        <f t="shared" ca="1" si="2"/>
        <v>Net 45</v>
      </c>
      <c r="O33">
        <f t="shared" ca="1" si="3"/>
        <v>45</v>
      </c>
      <c r="P33" s="1">
        <f t="shared" ca="1" si="4"/>
        <v>44621</v>
      </c>
      <c r="Q33" s="1">
        <f t="shared" ca="1" si="5"/>
        <v>44635</v>
      </c>
      <c r="R33">
        <f t="shared" ca="1" si="6"/>
        <v>59</v>
      </c>
      <c r="S33" t="str">
        <f t="shared" ca="1" si="7"/>
        <v>Late</v>
      </c>
      <c r="T33" t="str">
        <f t="shared" ca="1" si="8"/>
        <v>31-60</v>
      </c>
      <c r="U33">
        <f t="shared" ca="1" si="9"/>
        <v>14</v>
      </c>
      <c r="V33" t="str">
        <f t="shared" ca="1" si="10"/>
        <v>Inefficient</v>
      </c>
      <c r="W33">
        <f t="shared" si="11"/>
        <v>19324.439999999999</v>
      </c>
    </row>
    <row r="34" spans="1:23" x14ac:dyDescent="0.35">
      <c r="A34" t="s">
        <v>59</v>
      </c>
      <c r="B34" t="s">
        <v>29</v>
      </c>
      <c r="C34" s="1">
        <v>44725</v>
      </c>
      <c r="D34" s="1">
        <v>44741</v>
      </c>
      <c r="E34" t="s">
        <v>21</v>
      </c>
      <c r="F34" t="s">
        <v>18</v>
      </c>
      <c r="G34">
        <v>509</v>
      </c>
      <c r="H34">
        <v>101.27</v>
      </c>
      <c r="I34">
        <v>97.82</v>
      </c>
      <c r="J34">
        <v>19</v>
      </c>
      <c r="K34">
        <f t="shared" si="0"/>
        <v>490</v>
      </c>
      <c r="L34" t="s">
        <v>15</v>
      </c>
      <c r="M34" s="1">
        <f t="shared" si="1"/>
        <v>44741</v>
      </c>
      <c r="N34" t="str">
        <f t="shared" ca="1" si="2"/>
        <v>Net 45</v>
      </c>
      <c r="O34">
        <f t="shared" ca="1" si="3"/>
        <v>45</v>
      </c>
      <c r="P34" s="1">
        <f t="shared" ca="1" si="4"/>
        <v>44786</v>
      </c>
      <c r="Q34" s="1">
        <f t="shared" ca="1" si="5"/>
        <v>44794</v>
      </c>
      <c r="R34">
        <f t="shared" ca="1" si="6"/>
        <v>53</v>
      </c>
      <c r="S34" t="str">
        <f t="shared" ca="1" si="7"/>
        <v>Late</v>
      </c>
      <c r="T34" t="str">
        <f t="shared" ca="1" si="8"/>
        <v>31-60</v>
      </c>
      <c r="U34">
        <f t="shared" ca="1" si="9"/>
        <v>8</v>
      </c>
      <c r="V34" t="str">
        <f t="shared" ca="1" si="10"/>
        <v>Inefficient</v>
      </c>
      <c r="W34">
        <f t="shared" si="11"/>
        <v>49790.38</v>
      </c>
    </row>
    <row r="35" spans="1:23" x14ac:dyDescent="0.35">
      <c r="A35" t="s">
        <v>60</v>
      </c>
      <c r="B35" t="s">
        <v>12</v>
      </c>
      <c r="C35" s="1">
        <v>45276</v>
      </c>
      <c r="D35" s="1">
        <v>45277</v>
      </c>
      <c r="E35" t="s">
        <v>24</v>
      </c>
      <c r="F35" t="s">
        <v>18</v>
      </c>
      <c r="G35">
        <v>1387</v>
      </c>
      <c r="H35">
        <v>48.71</v>
      </c>
      <c r="I35">
        <v>43.71</v>
      </c>
      <c r="J35">
        <v>27</v>
      </c>
      <c r="K35">
        <f t="shared" si="0"/>
        <v>1360</v>
      </c>
      <c r="L35" t="s">
        <v>15</v>
      </c>
      <c r="M35" s="1">
        <f t="shared" si="1"/>
        <v>45277</v>
      </c>
      <c r="N35" t="str">
        <f t="shared" ca="1" si="2"/>
        <v>Net 15</v>
      </c>
      <c r="O35">
        <f t="shared" ca="1" si="3"/>
        <v>15</v>
      </c>
      <c r="P35" s="1">
        <f t="shared" ca="1" si="4"/>
        <v>45292</v>
      </c>
      <c r="Q35" s="1">
        <f t="shared" ca="1" si="5"/>
        <v>45292</v>
      </c>
      <c r="R35">
        <f t="shared" ca="1" si="6"/>
        <v>15</v>
      </c>
      <c r="S35" t="str">
        <f t="shared" ca="1" si="7"/>
        <v>On Time</v>
      </c>
      <c r="T35" t="str">
        <f t="shared" ca="1" si="8"/>
        <v>0-30</v>
      </c>
      <c r="U35">
        <f t="shared" ca="1" si="9"/>
        <v>0</v>
      </c>
      <c r="V35" t="str">
        <f t="shared" ca="1" si="10"/>
        <v>Efficient</v>
      </c>
      <c r="W35">
        <f t="shared" si="11"/>
        <v>60625.770000000004</v>
      </c>
    </row>
    <row r="36" spans="1:23" x14ac:dyDescent="0.35">
      <c r="A36" t="s">
        <v>61</v>
      </c>
      <c r="B36" t="s">
        <v>12</v>
      </c>
      <c r="C36" s="1">
        <v>44994</v>
      </c>
      <c r="D36" s="1">
        <v>45002</v>
      </c>
      <c r="E36" t="s">
        <v>21</v>
      </c>
      <c r="F36" t="s">
        <v>18</v>
      </c>
      <c r="G36">
        <v>71</v>
      </c>
      <c r="H36">
        <v>46.39</v>
      </c>
      <c r="I36">
        <v>43.18</v>
      </c>
      <c r="J36">
        <v>0</v>
      </c>
      <c r="K36">
        <f t="shared" si="0"/>
        <v>71</v>
      </c>
      <c r="L36" t="s">
        <v>15</v>
      </c>
      <c r="M36" s="1">
        <f t="shared" si="1"/>
        <v>45002</v>
      </c>
      <c r="N36" t="str">
        <f t="shared" ca="1" si="2"/>
        <v>Net 15</v>
      </c>
      <c r="O36">
        <f t="shared" ca="1" si="3"/>
        <v>15</v>
      </c>
      <c r="P36" s="1">
        <f t="shared" ca="1" si="4"/>
        <v>45017</v>
      </c>
      <c r="Q36" s="1">
        <f t="shared" ca="1" si="5"/>
        <v>45017</v>
      </c>
      <c r="R36">
        <f t="shared" ca="1" si="6"/>
        <v>15</v>
      </c>
      <c r="S36" t="str">
        <f t="shared" ca="1" si="7"/>
        <v>On Time</v>
      </c>
      <c r="T36" t="str">
        <f t="shared" ca="1" si="8"/>
        <v>0-30</v>
      </c>
      <c r="U36">
        <f t="shared" ca="1" si="9"/>
        <v>0</v>
      </c>
      <c r="V36" t="str">
        <f t="shared" ca="1" si="10"/>
        <v>Efficient</v>
      </c>
      <c r="W36">
        <f t="shared" si="11"/>
        <v>3065.78</v>
      </c>
    </row>
    <row r="37" spans="1:23" x14ac:dyDescent="0.35">
      <c r="A37" t="s">
        <v>62</v>
      </c>
      <c r="B37" t="s">
        <v>29</v>
      </c>
      <c r="C37" s="1">
        <v>44910</v>
      </c>
      <c r="D37" s="1">
        <v>44918</v>
      </c>
      <c r="E37" t="s">
        <v>13</v>
      </c>
      <c r="F37" t="s">
        <v>18</v>
      </c>
      <c r="G37">
        <v>302</v>
      </c>
      <c r="H37">
        <v>87.73</v>
      </c>
      <c r="I37">
        <v>81.52</v>
      </c>
      <c r="J37">
        <v>9</v>
      </c>
      <c r="K37">
        <f t="shared" si="0"/>
        <v>293</v>
      </c>
      <c r="L37" t="s">
        <v>15</v>
      </c>
      <c r="M37" s="1">
        <f t="shared" si="1"/>
        <v>44918</v>
      </c>
      <c r="N37" t="str">
        <f t="shared" ca="1" si="2"/>
        <v>Net 15</v>
      </c>
      <c r="O37">
        <f t="shared" ca="1" si="3"/>
        <v>15</v>
      </c>
      <c r="P37" s="1">
        <f t="shared" ca="1" si="4"/>
        <v>44933</v>
      </c>
      <c r="Q37" s="1">
        <f t="shared" ca="1" si="5"/>
        <v>44948</v>
      </c>
      <c r="R37">
        <f t="shared" ca="1" si="6"/>
        <v>30</v>
      </c>
      <c r="S37" t="str">
        <f t="shared" ca="1" si="7"/>
        <v>Late</v>
      </c>
      <c r="T37" t="str">
        <f t="shared" ca="1" si="8"/>
        <v>0-30</v>
      </c>
      <c r="U37">
        <f t="shared" ca="1" si="9"/>
        <v>15</v>
      </c>
      <c r="V37" t="str">
        <f t="shared" ca="1" si="10"/>
        <v>Inefficient</v>
      </c>
      <c r="W37">
        <f t="shared" si="11"/>
        <v>24619.039999999997</v>
      </c>
    </row>
    <row r="38" spans="1:23" x14ac:dyDescent="0.35">
      <c r="A38" t="s">
        <v>63</v>
      </c>
      <c r="B38" t="s">
        <v>29</v>
      </c>
      <c r="C38" s="1">
        <v>44846</v>
      </c>
      <c r="D38" s="1">
        <v>44865</v>
      </c>
      <c r="E38" t="s">
        <v>13</v>
      </c>
      <c r="F38" t="s">
        <v>35</v>
      </c>
      <c r="G38">
        <v>797</v>
      </c>
      <c r="H38">
        <v>99.54</v>
      </c>
      <c r="I38">
        <v>91.37</v>
      </c>
      <c r="J38">
        <v>18</v>
      </c>
      <c r="K38">
        <f t="shared" si="0"/>
        <v>779</v>
      </c>
      <c r="L38" t="s">
        <v>15</v>
      </c>
      <c r="M38" s="1">
        <f t="shared" si="1"/>
        <v>44865</v>
      </c>
      <c r="N38" t="str">
        <f t="shared" ca="1" si="2"/>
        <v>Net 15</v>
      </c>
      <c r="O38">
        <f t="shared" ca="1" si="3"/>
        <v>15</v>
      </c>
      <c r="P38" s="1">
        <f t="shared" ca="1" si="4"/>
        <v>44880</v>
      </c>
      <c r="Q38" s="1">
        <f t="shared" ca="1" si="5"/>
        <v>44883</v>
      </c>
      <c r="R38">
        <f t="shared" ca="1" si="6"/>
        <v>18</v>
      </c>
      <c r="S38" t="str">
        <f t="shared" ca="1" si="7"/>
        <v>Late</v>
      </c>
      <c r="T38" t="str">
        <f t="shared" ca="1" si="8"/>
        <v>0-30</v>
      </c>
      <c r="U38">
        <f t="shared" ca="1" si="9"/>
        <v>3</v>
      </c>
      <c r="V38" t="str">
        <f t="shared" ca="1" si="10"/>
        <v>Inefficient</v>
      </c>
      <c r="W38">
        <f t="shared" si="11"/>
        <v>72821.89</v>
      </c>
    </row>
    <row r="39" spans="1:23" x14ac:dyDescent="0.35">
      <c r="A39" t="s">
        <v>64</v>
      </c>
      <c r="B39" t="s">
        <v>23</v>
      </c>
      <c r="C39" s="1">
        <v>44721</v>
      </c>
      <c r="D39" s="1">
        <v>44739</v>
      </c>
      <c r="E39" t="s">
        <v>13</v>
      </c>
      <c r="F39" t="s">
        <v>35</v>
      </c>
      <c r="G39">
        <v>906</v>
      </c>
      <c r="H39">
        <v>101.21</v>
      </c>
      <c r="I39">
        <v>90.9</v>
      </c>
      <c r="J39">
        <v>94</v>
      </c>
      <c r="K39">
        <f t="shared" si="0"/>
        <v>812</v>
      </c>
      <c r="L39" t="s">
        <v>15</v>
      </c>
      <c r="M39" s="1">
        <f t="shared" si="1"/>
        <v>44739</v>
      </c>
      <c r="N39" t="str">
        <f t="shared" ca="1" si="2"/>
        <v>Net 45</v>
      </c>
      <c r="O39">
        <f t="shared" ca="1" si="3"/>
        <v>45</v>
      </c>
      <c r="P39" s="1">
        <f t="shared" ca="1" si="4"/>
        <v>44784</v>
      </c>
      <c r="Q39" s="1">
        <f t="shared" ca="1" si="5"/>
        <v>44797</v>
      </c>
      <c r="R39">
        <f t="shared" ca="1" si="6"/>
        <v>58</v>
      </c>
      <c r="S39" t="str">
        <f t="shared" ca="1" si="7"/>
        <v>Late</v>
      </c>
      <c r="T39" t="str">
        <f t="shared" ca="1" si="8"/>
        <v>31-60</v>
      </c>
      <c r="U39">
        <f t="shared" ca="1" si="9"/>
        <v>13</v>
      </c>
      <c r="V39" t="str">
        <f t="shared" ca="1" si="10"/>
        <v>Inefficient</v>
      </c>
      <c r="W39">
        <f t="shared" si="11"/>
        <v>82355.400000000009</v>
      </c>
    </row>
    <row r="40" spans="1:23" x14ac:dyDescent="0.35">
      <c r="A40" t="s">
        <v>65</v>
      </c>
      <c r="B40" t="s">
        <v>29</v>
      </c>
      <c r="C40" s="1">
        <v>44782</v>
      </c>
      <c r="D40" s="1">
        <v>44796</v>
      </c>
      <c r="E40" t="s">
        <v>13</v>
      </c>
      <c r="F40" t="s">
        <v>18</v>
      </c>
      <c r="G40">
        <v>1634</v>
      </c>
      <c r="H40">
        <v>80.53</v>
      </c>
      <c r="I40">
        <v>76.150000000000006</v>
      </c>
      <c r="J40">
        <v>50</v>
      </c>
      <c r="K40">
        <f t="shared" si="0"/>
        <v>1584</v>
      </c>
      <c r="L40" t="s">
        <v>15</v>
      </c>
      <c r="M40" s="1">
        <f t="shared" si="1"/>
        <v>44796</v>
      </c>
      <c r="N40" t="str">
        <f t="shared" ca="1" si="2"/>
        <v>Net 15</v>
      </c>
      <c r="O40">
        <f t="shared" ca="1" si="3"/>
        <v>15</v>
      </c>
      <c r="P40" s="1">
        <f t="shared" ca="1" si="4"/>
        <v>44811</v>
      </c>
      <c r="Q40" s="1">
        <f t="shared" ca="1" si="5"/>
        <v>44821</v>
      </c>
      <c r="R40">
        <f t="shared" ca="1" si="6"/>
        <v>25</v>
      </c>
      <c r="S40" t="str">
        <f t="shared" ca="1" si="7"/>
        <v>Late</v>
      </c>
      <c r="T40" t="str">
        <f t="shared" ca="1" si="8"/>
        <v>0-30</v>
      </c>
      <c r="U40">
        <f t="shared" ca="1" si="9"/>
        <v>10</v>
      </c>
      <c r="V40" t="str">
        <f t="shared" ca="1" si="10"/>
        <v>Inefficient</v>
      </c>
      <c r="W40">
        <f t="shared" si="11"/>
        <v>124429.1</v>
      </c>
    </row>
    <row r="41" spans="1:23" x14ac:dyDescent="0.35">
      <c r="A41" t="s">
        <v>66</v>
      </c>
      <c r="B41" t="s">
        <v>29</v>
      </c>
      <c r="C41" s="1">
        <v>44906</v>
      </c>
      <c r="E41" t="s">
        <v>13</v>
      </c>
      <c r="F41" t="s">
        <v>18</v>
      </c>
      <c r="G41">
        <v>524</v>
      </c>
      <c r="H41">
        <v>46.28</v>
      </c>
      <c r="I41">
        <v>39.65</v>
      </c>
      <c r="J41">
        <v>14</v>
      </c>
      <c r="K41">
        <f t="shared" si="0"/>
        <v>510</v>
      </c>
      <c r="L41" t="s">
        <v>15</v>
      </c>
      <c r="M41" s="1">
        <f t="shared" si="1"/>
        <v>0</v>
      </c>
      <c r="N41" t="str">
        <f t="shared" ca="1" si="2"/>
        <v>Net 45</v>
      </c>
      <c r="O41">
        <f t="shared" ca="1" si="3"/>
        <v>45</v>
      </c>
      <c r="P41" s="1">
        <f t="shared" ca="1" si="4"/>
        <v>45</v>
      </c>
      <c r="Q41" s="1">
        <f t="shared" ca="1" si="5"/>
        <v>50</v>
      </c>
      <c r="R41">
        <f t="shared" ca="1" si="6"/>
        <v>50</v>
      </c>
      <c r="S41" t="str">
        <f t="shared" ca="1" si="7"/>
        <v>Late</v>
      </c>
      <c r="T41" t="str">
        <f t="shared" ca="1" si="8"/>
        <v>31-60</v>
      </c>
      <c r="U41">
        <f t="shared" ca="1" si="9"/>
        <v>5</v>
      </c>
      <c r="V41" t="str">
        <f t="shared" ca="1" si="10"/>
        <v>Inefficient</v>
      </c>
      <c r="W41">
        <f t="shared" si="11"/>
        <v>20776.599999999999</v>
      </c>
    </row>
    <row r="42" spans="1:23" x14ac:dyDescent="0.35">
      <c r="A42" t="s">
        <v>67</v>
      </c>
      <c r="B42" t="s">
        <v>23</v>
      </c>
      <c r="C42" s="1">
        <v>44666</v>
      </c>
      <c r="D42" s="1">
        <v>44678</v>
      </c>
      <c r="E42" t="s">
        <v>39</v>
      </c>
      <c r="F42" t="s">
        <v>18</v>
      </c>
      <c r="G42">
        <v>1132</v>
      </c>
      <c r="H42">
        <v>17.78</v>
      </c>
      <c r="I42">
        <v>15.36</v>
      </c>
      <c r="J42">
        <v>96</v>
      </c>
      <c r="K42">
        <f t="shared" si="0"/>
        <v>1036</v>
      </c>
      <c r="L42" t="s">
        <v>15</v>
      </c>
      <c r="M42" s="1">
        <f t="shared" si="1"/>
        <v>44678</v>
      </c>
      <c r="N42" t="str">
        <f t="shared" ca="1" si="2"/>
        <v>Net 30</v>
      </c>
      <c r="O42">
        <f t="shared" ca="1" si="3"/>
        <v>30</v>
      </c>
      <c r="P42" s="1">
        <f t="shared" ca="1" si="4"/>
        <v>44708</v>
      </c>
      <c r="Q42" s="1">
        <f t="shared" ca="1" si="5"/>
        <v>44708</v>
      </c>
      <c r="R42">
        <f t="shared" ca="1" si="6"/>
        <v>30</v>
      </c>
      <c r="S42" t="str">
        <f t="shared" ca="1" si="7"/>
        <v>On Time</v>
      </c>
      <c r="T42" t="str">
        <f t="shared" ca="1" si="8"/>
        <v>0-30</v>
      </c>
      <c r="U42">
        <f t="shared" ca="1" si="9"/>
        <v>0</v>
      </c>
      <c r="V42" t="str">
        <f t="shared" ca="1" si="10"/>
        <v>Efficient</v>
      </c>
      <c r="W42">
        <f t="shared" si="11"/>
        <v>17387.52</v>
      </c>
    </row>
    <row r="43" spans="1:23" x14ac:dyDescent="0.35">
      <c r="A43" t="s">
        <v>68</v>
      </c>
      <c r="B43" t="s">
        <v>23</v>
      </c>
      <c r="C43" s="1">
        <v>44656</v>
      </c>
      <c r="D43" s="1">
        <v>44665</v>
      </c>
      <c r="E43" t="s">
        <v>13</v>
      </c>
      <c r="F43" t="s">
        <v>18</v>
      </c>
      <c r="G43">
        <v>560</v>
      </c>
      <c r="H43">
        <v>81.14</v>
      </c>
      <c r="I43">
        <v>77.87</v>
      </c>
      <c r="J43">
        <v>34</v>
      </c>
      <c r="K43">
        <f t="shared" si="0"/>
        <v>526</v>
      </c>
      <c r="L43" t="s">
        <v>27</v>
      </c>
      <c r="M43" s="1">
        <f t="shared" si="1"/>
        <v>44665</v>
      </c>
      <c r="N43" t="str">
        <f t="shared" ca="1" si="2"/>
        <v>Net 45</v>
      </c>
      <c r="O43">
        <f t="shared" ca="1" si="3"/>
        <v>45</v>
      </c>
      <c r="P43" s="1">
        <f t="shared" ca="1" si="4"/>
        <v>44710</v>
      </c>
      <c r="Q43" s="1">
        <f t="shared" ca="1" si="5"/>
        <v>44720</v>
      </c>
      <c r="R43">
        <f t="shared" ca="1" si="6"/>
        <v>55</v>
      </c>
      <c r="S43" t="str">
        <f t="shared" ca="1" si="7"/>
        <v>Late</v>
      </c>
      <c r="T43" t="str">
        <f t="shared" ca="1" si="8"/>
        <v>31-60</v>
      </c>
      <c r="U43">
        <f t="shared" ca="1" si="9"/>
        <v>10</v>
      </c>
      <c r="V43" t="str">
        <f t="shared" ca="1" si="10"/>
        <v>Inefficient</v>
      </c>
      <c r="W43">
        <f t="shared" si="11"/>
        <v>43607.200000000004</v>
      </c>
    </row>
    <row r="44" spans="1:23" x14ac:dyDescent="0.35">
      <c r="A44" t="s">
        <v>69</v>
      </c>
      <c r="B44" t="s">
        <v>20</v>
      </c>
      <c r="C44" s="1">
        <v>44951</v>
      </c>
      <c r="D44" s="1">
        <v>44959</v>
      </c>
      <c r="E44" t="s">
        <v>39</v>
      </c>
      <c r="F44" t="s">
        <v>18</v>
      </c>
      <c r="G44">
        <v>1755</v>
      </c>
      <c r="H44">
        <v>63.87</v>
      </c>
      <c r="I44">
        <v>58.4</v>
      </c>
      <c r="J44">
        <v>85</v>
      </c>
      <c r="K44">
        <f t="shared" si="0"/>
        <v>1670</v>
      </c>
      <c r="L44" t="s">
        <v>15</v>
      </c>
      <c r="M44" s="1">
        <f t="shared" si="1"/>
        <v>44959</v>
      </c>
      <c r="N44" t="str">
        <f t="shared" ca="1" si="2"/>
        <v>Net 45</v>
      </c>
      <c r="O44">
        <f t="shared" ca="1" si="3"/>
        <v>45</v>
      </c>
      <c r="P44" s="1">
        <f t="shared" ca="1" si="4"/>
        <v>45004</v>
      </c>
      <c r="Q44" s="1">
        <f t="shared" ca="1" si="5"/>
        <v>45007</v>
      </c>
      <c r="R44">
        <f t="shared" ca="1" si="6"/>
        <v>48</v>
      </c>
      <c r="S44" t="str">
        <f t="shared" ca="1" si="7"/>
        <v>Late</v>
      </c>
      <c r="T44" t="str">
        <f t="shared" ca="1" si="8"/>
        <v>31-60</v>
      </c>
      <c r="U44">
        <f t="shared" ca="1" si="9"/>
        <v>3</v>
      </c>
      <c r="V44" t="str">
        <f t="shared" ca="1" si="10"/>
        <v>Inefficient</v>
      </c>
      <c r="W44">
        <f t="shared" si="11"/>
        <v>102492</v>
      </c>
    </row>
    <row r="45" spans="1:23" x14ac:dyDescent="0.35">
      <c r="A45" t="s">
        <v>70</v>
      </c>
      <c r="B45" t="s">
        <v>29</v>
      </c>
      <c r="C45" s="1">
        <v>44661</v>
      </c>
      <c r="D45" s="1">
        <v>44668</v>
      </c>
      <c r="E45" t="s">
        <v>21</v>
      </c>
      <c r="F45" t="s">
        <v>18</v>
      </c>
      <c r="G45">
        <v>1549</v>
      </c>
      <c r="H45">
        <v>48.9</v>
      </c>
      <c r="I45">
        <v>42.42</v>
      </c>
      <c r="J45">
        <v>48</v>
      </c>
      <c r="K45">
        <f t="shared" si="0"/>
        <v>1501</v>
      </c>
      <c r="L45" t="s">
        <v>15</v>
      </c>
      <c r="M45" s="1">
        <f t="shared" si="1"/>
        <v>44668</v>
      </c>
      <c r="N45" t="str">
        <f t="shared" ca="1" si="2"/>
        <v>Net 30</v>
      </c>
      <c r="O45">
        <f t="shared" ca="1" si="3"/>
        <v>30</v>
      </c>
      <c r="P45" s="1">
        <f t="shared" ca="1" si="4"/>
        <v>44698</v>
      </c>
      <c r="Q45" s="1">
        <f t="shared" ca="1" si="5"/>
        <v>44697</v>
      </c>
      <c r="R45">
        <f t="shared" ca="1" si="6"/>
        <v>29</v>
      </c>
      <c r="S45" t="str">
        <f t="shared" ca="1" si="7"/>
        <v>On Time</v>
      </c>
      <c r="T45" t="str">
        <f t="shared" ca="1" si="8"/>
        <v>0-30</v>
      </c>
      <c r="U45">
        <f t="shared" ca="1" si="9"/>
        <v>0</v>
      </c>
      <c r="V45" t="str">
        <f t="shared" ca="1" si="10"/>
        <v>Efficient</v>
      </c>
      <c r="W45">
        <f t="shared" si="11"/>
        <v>65708.58</v>
      </c>
    </row>
    <row r="46" spans="1:23" x14ac:dyDescent="0.35">
      <c r="A46" t="s">
        <v>71</v>
      </c>
      <c r="B46" t="s">
        <v>17</v>
      </c>
      <c r="C46" s="1">
        <v>44929</v>
      </c>
      <c r="D46" s="1">
        <v>44947</v>
      </c>
      <c r="E46" t="s">
        <v>21</v>
      </c>
      <c r="F46" t="s">
        <v>18</v>
      </c>
      <c r="G46">
        <v>749</v>
      </c>
      <c r="H46">
        <v>97.07</v>
      </c>
      <c r="I46">
        <v>94.16</v>
      </c>
      <c r="J46">
        <v>123</v>
      </c>
      <c r="K46">
        <f t="shared" si="0"/>
        <v>626</v>
      </c>
      <c r="L46" t="s">
        <v>15</v>
      </c>
      <c r="M46" s="1">
        <f t="shared" si="1"/>
        <v>44947</v>
      </c>
      <c r="N46" t="str">
        <f t="shared" ca="1" si="2"/>
        <v>Net 30</v>
      </c>
      <c r="O46">
        <f t="shared" ca="1" si="3"/>
        <v>30</v>
      </c>
      <c r="P46" s="1">
        <f t="shared" ca="1" si="4"/>
        <v>44977</v>
      </c>
      <c r="Q46" s="1">
        <f t="shared" ca="1" si="5"/>
        <v>44986</v>
      </c>
      <c r="R46">
        <f t="shared" ca="1" si="6"/>
        <v>39</v>
      </c>
      <c r="S46" t="str">
        <f t="shared" ca="1" si="7"/>
        <v>Late</v>
      </c>
      <c r="T46" t="str">
        <f t="shared" ca="1" si="8"/>
        <v>31-60</v>
      </c>
      <c r="U46">
        <f t="shared" ca="1" si="9"/>
        <v>9</v>
      </c>
      <c r="V46" t="str">
        <f t="shared" ca="1" si="10"/>
        <v>Inefficient</v>
      </c>
      <c r="W46">
        <f t="shared" si="11"/>
        <v>70525.84</v>
      </c>
    </row>
    <row r="47" spans="1:23" x14ac:dyDescent="0.35">
      <c r="A47" t="s">
        <v>72</v>
      </c>
      <c r="B47" t="s">
        <v>12</v>
      </c>
      <c r="C47" s="1">
        <v>44914</v>
      </c>
      <c r="E47" t="s">
        <v>39</v>
      </c>
      <c r="F47" t="s">
        <v>18</v>
      </c>
      <c r="G47">
        <v>1025</v>
      </c>
      <c r="H47">
        <v>21.11</v>
      </c>
      <c r="I47">
        <v>19.25</v>
      </c>
      <c r="J47">
        <v>15</v>
      </c>
      <c r="K47">
        <f t="shared" si="0"/>
        <v>1010</v>
      </c>
      <c r="L47" t="s">
        <v>15</v>
      </c>
      <c r="M47" s="1">
        <f t="shared" si="1"/>
        <v>0</v>
      </c>
      <c r="N47" t="str">
        <f t="shared" ca="1" si="2"/>
        <v>Net 30</v>
      </c>
      <c r="O47">
        <f t="shared" ca="1" si="3"/>
        <v>30</v>
      </c>
      <c r="P47" s="1">
        <f t="shared" ca="1" si="4"/>
        <v>30</v>
      </c>
      <c r="Q47" s="1">
        <f t="shared" ca="1" si="5"/>
        <v>49</v>
      </c>
      <c r="R47">
        <f t="shared" ca="1" si="6"/>
        <v>49</v>
      </c>
      <c r="S47" t="str">
        <f t="shared" ca="1" si="7"/>
        <v>Late</v>
      </c>
      <c r="T47" t="str">
        <f t="shared" ca="1" si="8"/>
        <v>31-60</v>
      </c>
      <c r="U47">
        <f t="shared" ca="1" si="9"/>
        <v>19</v>
      </c>
      <c r="V47" t="str">
        <f t="shared" ca="1" si="10"/>
        <v>Inefficient</v>
      </c>
      <c r="W47">
        <f t="shared" si="11"/>
        <v>19731.25</v>
      </c>
    </row>
    <row r="48" spans="1:23" x14ac:dyDescent="0.35">
      <c r="A48" t="s">
        <v>73</v>
      </c>
      <c r="B48" t="s">
        <v>23</v>
      </c>
      <c r="C48" s="1">
        <v>45180</v>
      </c>
      <c r="D48" s="1">
        <v>45187</v>
      </c>
      <c r="E48" t="s">
        <v>26</v>
      </c>
      <c r="F48" t="s">
        <v>18</v>
      </c>
      <c r="G48">
        <v>1856</v>
      </c>
      <c r="H48">
        <v>59.77</v>
      </c>
      <c r="I48">
        <v>50.81</v>
      </c>
      <c r="J48">
        <v>191</v>
      </c>
      <c r="K48">
        <f t="shared" si="0"/>
        <v>1665</v>
      </c>
      <c r="L48" t="s">
        <v>15</v>
      </c>
      <c r="M48" s="1">
        <f t="shared" si="1"/>
        <v>45187</v>
      </c>
      <c r="N48" t="str">
        <f t="shared" ca="1" si="2"/>
        <v>Net 30</v>
      </c>
      <c r="O48">
        <f t="shared" ca="1" si="3"/>
        <v>30</v>
      </c>
      <c r="P48" s="1">
        <f t="shared" ca="1" si="4"/>
        <v>45217</v>
      </c>
      <c r="Q48" s="1">
        <f t="shared" ca="1" si="5"/>
        <v>45212</v>
      </c>
      <c r="R48">
        <f t="shared" ca="1" si="6"/>
        <v>25</v>
      </c>
      <c r="S48" t="str">
        <f t="shared" ca="1" si="7"/>
        <v>On Time</v>
      </c>
      <c r="T48" t="str">
        <f t="shared" ca="1" si="8"/>
        <v>0-30</v>
      </c>
      <c r="U48">
        <f t="shared" ca="1" si="9"/>
        <v>0</v>
      </c>
      <c r="V48" t="str">
        <f t="shared" ca="1" si="10"/>
        <v>Efficient</v>
      </c>
      <c r="W48">
        <f t="shared" si="11"/>
        <v>94303.360000000001</v>
      </c>
    </row>
    <row r="49" spans="1:23" x14ac:dyDescent="0.35">
      <c r="A49" t="s">
        <v>74</v>
      </c>
      <c r="B49" t="s">
        <v>29</v>
      </c>
      <c r="C49" s="1">
        <v>44832</v>
      </c>
      <c r="D49" s="1">
        <v>44848</v>
      </c>
      <c r="E49" t="s">
        <v>13</v>
      </c>
      <c r="F49" t="s">
        <v>18</v>
      </c>
      <c r="G49">
        <v>239</v>
      </c>
      <c r="H49">
        <v>11.46</v>
      </c>
      <c r="I49">
        <v>11.28</v>
      </c>
      <c r="J49">
        <v>4</v>
      </c>
      <c r="K49">
        <f t="shared" si="0"/>
        <v>235</v>
      </c>
      <c r="L49" t="s">
        <v>15</v>
      </c>
      <c r="M49" s="1">
        <f t="shared" si="1"/>
        <v>44848</v>
      </c>
      <c r="N49" t="str">
        <f t="shared" ca="1" si="2"/>
        <v>Net 15</v>
      </c>
      <c r="O49">
        <f t="shared" ca="1" si="3"/>
        <v>15</v>
      </c>
      <c r="P49" s="1">
        <f t="shared" ca="1" si="4"/>
        <v>44863</v>
      </c>
      <c r="Q49" s="1">
        <f t="shared" ca="1" si="5"/>
        <v>44875</v>
      </c>
      <c r="R49">
        <f t="shared" ca="1" si="6"/>
        <v>27</v>
      </c>
      <c r="S49" t="str">
        <f t="shared" ca="1" si="7"/>
        <v>Late</v>
      </c>
      <c r="T49" t="str">
        <f t="shared" ca="1" si="8"/>
        <v>0-30</v>
      </c>
      <c r="U49">
        <f t="shared" ca="1" si="9"/>
        <v>12</v>
      </c>
      <c r="V49" t="str">
        <f t="shared" ca="1" si="10"/>
        <v>Inefficient</v>
      </c>
      <c r="W49">
        <f t="shared" si="11"/>
        <v>2695.92</v>
      </c>
    </row>
    <row r="50" spans="1:23" x14ac:dyDescent="0.35">
      <c r="A50" t="s">
        <v>75</v>
      </c>
      <c r="B50" t="s">
        <v>17</v>
      </c>
      <c r="C50" s="1">
        <v>44606</v>
      </c>
      <c r="D50" s="1">
        <v>44625</v>
      </c>
      <c r="E50" t="s">
        <v>13</v>
      </c>
      <c r="F50" t="s">
        <v>35</v>
      </c>
      <c r="G50">
        <v>1007</v>
      </c>
      <c r="H50">
        <v>52.44</v>
      </c>
      <c r="I50">
        <v>46.06</v>
      </c>
      <c r="J50">
        <v>167</v>
      </c>
      <c r="K50">
        <f t="shared" si="0"/>
        <v>840</v>
      </c>
      <c r="L50" t="s">
        <v>15</v>
      </c>
      <c r="M50" s="1">
        <f t="shared" si="1"/>
        <v>44625</v>
      </c>
      <c r="N50" t="str">
        <f t="shared" ca="1" si="2"/>
        <v>Net 45</v>
      </c>
      <c r="O50">
        <f t="shared" ca="1" si="3"/>
        <v>45</v>
      </c>
      <c r="P50" s="1">
        <f t="shared" ca="1" si="4"/>
        <v>44670</v>
      </c>
      <c r="Q50" s="1">
        <f t="shared" ca="1" si="5"/>
        <v>44666</v>
      </c>
      <c r="R50">
        <f t="shared" ca="1" si="6"/>
        <v>41</v>
      </c>
      <c r="S50" t="str">
        <f t="shared" ca="1" si="7"/>
        <v>On Time</v>
      </c>
      <c r="T50" t="str">
        <f t="shared" ca="1" si="8"/>
        <v>31-60</v>
      </c>
      <c r="U50">
        <f t="shared" ca="1" si="9"/>
        <v>0</v>
      </c>
      <c r="V50" t="str">
        <f t="shared" ca="1" si="10"/>
        <v>Efficient</v>
      </c>
      <c r="W50">
        <f t="shared" si="11"/>
        <v>46382.420000000006</v>
      </c>
    </row>
    <row r="51" spans="1:23" x14ac:dyDescent="0.35">
      <c r="A51" t="s">
        <v>76</v>
      </c>
      <c r="B51" t="s">
        <v>12</v>
      </c>
      <c r="C51" s="1">
        <v>45032</v>
      </c>
      <c r="E51" t="s">
        <v>21</v>
      </c>
      <c r="F51" t="s">
        <v>35</v>
      </c>
      <c r="G51">
        <v>736</v>
      </c>
      <c r="H51">
        <v>16.2</v>
      </c>
      <c r="I51">
        <v>15.33</v>
      </c>
      <c r="J51">
        <v>18</v>
      </c>
      <c r="K51">
        <f t="shared" si="0"/>
        <v>718</v>
      </c>
      <c r="L51" t="s">
        <v>15</v>
      </c>
      <c r="M51" s="1">
        <f t="shared" si="1"/>
        <v>0</v>
      </c>
      <c r="N51" t="str">
        <f t="shared" ca="1" si="2"/>
        <v>Net 15</v>
      </c>
      <c r="O51">
        <f t="shared" ca="1" si="3"/>
        <v>15</v>
      </c>
      <c r="P51" s="1">
        <f t="shared" ca="1" si="4"/>
        <v>15</v>
      </c>
      <c r="Q51" s="1">
        <f t="shared" ca="1" si="5"/>
        <v>23</v>
      </c>
      <c r="R51">
        <f t="shared" ca="1" si="6"/>
        <v>23</v>
      </c>
      <c r="S51" t="str">
        <f t="shared" ca="1" si="7"/>
        <v>Late</v>
      </c>
      <c r="T51" t="str">
        <f t="shared" ca="1" si="8"/>
        <v>0-30</v>
      </c>
      <c r="U51">
        <f t="shared" ca="1" si="9"/>
        <v>8</v>
      </c>
      <c r="V51" t="str">
        <f t="shared" ca="1" si="10"/>
        <v>Inefficient</v>
      </c>
      <c r="W51">
        <f t="shared" si="11"/>
        <v>11282.88</v>
      </c>
    </row>
    <row r="52" spans="1:23" x14ac:dyDescent="0.35">
      <c r="A52" t="s">
        <v>77</v>
      </c>
      <c r="B52" t="s">
        <v>29</v>
      </c>
      <c r="C52" s="1">
        <v>45111</v>
      </c>
      <c r="D52" s="1">
        <v>45121</v>
      </c>
      <c r="E52" t="s">
        <v>39</v>
      </c>
      <c r="F52" t="s">
        <v>18</v>
      </c>
      <c r="G52">
        <v>1007</v>
      </c>
      <c r="H52">
        <v>22.56</v>
      </c>
      <c r="I52">
        <v>19.59</v>
      </c>
      <c r="K52">
        <f t="shared" si="0"/>
        <v>1007</v>
      </c>
      <c r="L52" t="s">
        <v>15</v>
      </c>
      <c r="M52" s="1">
        <f t="shared" si="1"/>
        <v>45121</v>
      </c>
      <c r="N52" t="str">
        <f t="shared" ca="1" si="2"/>
        <v>Net 45</v>
      </c>
      <c r="O52">
        <f t="shared" ca="1" si="3"/>
        <v>45</v>
      </c>
      <c r="P52" s="1">
        <f t="shared" ca="1" si="4"/>
        <v>45166</v>
      </c>
      <c r="Q52" s="1">
        <f t="shared" ca="1" si="5"/>
        <v>45167</v>
      </c>
      <c r="R52">
        <f t="shared" ca="1" si="6"/>
        <v>46</v>
      </c>
      <c r="S52" t="str">
        <f t="shared" ca="1" si="7"/>
        <v>Late</v>
      </c>
      <c r="T52" t="str">
        <f t="shared" ca="1" si="8"/>
        <v>31-60</v>
      </c>
      <c r="U52">
        <f t="shared" ca="1" si="9"/>
        <v>1</v>
      </c>
      <c r="V52" t="str">
        <f t="shared" ca="1" si="10"/>
        <v>Inefficient</v>
      </c>
      <c r="W52">
        <f t="shared" si="11"/>
        <v>19727.13</v>
      </c>
    </row>
    <row r="53" spans="1:23" x14ac:dyDescent="0.35">
      <c r="A53" t="s">
        <v>78</v>
      </c>
      <c r="B53" t="s">
        <v>17</v>
      </c>
      <c r="C53" s="1">
        <v>44689</v>
      </c>
      <c r="E53" t="s">
        <v>13</v>
      </c>
      <c r="F53" t="s">
        <v>18</v>
      </c>
      <c r="G53">
        <v>612</v>
      </c>
      <c r="H53">
        <v>20.99</v>
      </c>
      <c r="I53">
        <v>19.75</v>
      </c>
      <c r="J53">
        <v>102</v>
      </c>
      <c r="K53">
        <f t="shared" si="0"/>
        <v>510</v>
      </c>
      <c r="L53" t="s">
        <v>15</v>
      </c>
      <c r="M53" s="1">
        <f t="shared" si="1"/>
        <v>0</v>
      </c>
      <c r="N53" t="str">
        <f t="shared" ca="1" si="2"/>
        <v>Net 45</v>
      </c>
      <c r="O53">
        <f t="shared" ca="1" si="3"/>
        <v>45</v>
      </c>
      <c r="P53" s="1">
        <f t="shared" ca="1" si="4"/>
        <v>45</v>
      </c>
      <c r="Q53" s="1">
        <f t="shared" ca="1" si="5"/>
        <v>51</v>
      </c>
      <c r="R53">
        <f t="shared" ca="1" si="6"/>
        <v>51</v>
      </c>
      <c r="S53" t="str">
        <f t="shared" ca="1" si="7"/>
        <v>Late</v>
      </c>
      <c r="T53" t="str">
        <f t="shared" ca="1" si="8"/>
        <v>31-60</v>
      </c>
      <c r="U53">
        <f t="shared" ca="1" si="9"/>
        <v>6</v>
      </c>
      <c r="V53" t="str">
        <f t="shared" ca="1" si="10"/>
        <v>Inefficient</v>
      </c>
      <c r="W53">
        <f t="shared" si="11"/>
        <v>12087</v>
      </c>
    </row>
    <row r="54" spans="1:23" x14ac:dyDescent="0.35">
      <c r="A54" t="s">
        <v>79</v>
      </c>
      <c r="B54" t="s">
        <v>12</v>
      </c>
      <c r="C54" s="1">
        <v>44949</v>
      </c>
      <c r="D54" s="1">
        <v>44959</v>
      </c>
      <c r="E54" t="s">
        <v>21</v>
      </c>
      <c r="F54" t="s">
        <v>35</v>
      </c>
      <c r="G54">
        <v>1949</v>
      </c>
      <c r="H54">
        <v>72.53</v>
      </c>
      <c r="I54">
        <v>63.26</v>
      </c>
      <c r="J54">
        <v>48</v>
      </c>
      <c r="K54">
        <f t="shared" si="0"/>
        <v>1901</v>
      </c>
      <c r="L54" t="s">
        <v>27</v>
      </c>
      <c r="M54" s="1">
        <f t="shared" si="1"/>
        <v>44959</v>
      </c>
      <c r="N54" t="str">
        <f t="shared" ca="1" si="2"/>
        <v>Net 15</v>
      </c>
      <c r="O54">
        <f t="shared" ca="1" si="3"/>
        <v>15</v>
      </c>
      <c r="P54" s="1">
        <f t="shared" ca="1" si="4"/>
        <v>44974</v>
      </c>
      <c r="Q54" s="1">
        <f t="shared" ca="1" si="5"/>
        <v>44980</v>
      </c>
      <c r="R54">
        <f t="shared" ca="1" si="6"/>
        <v>21</v>
      </c>
      <c r="S54" t="str">
        <f t="shared" ca="1" si="7"/>
        <v>Late</v>
      </c>
      <c r="T54" t="str">
        <f t="shared" ca="1" si="8"/>
        <v>0-30</v>
      </c>
      <c r="U54">
        <f t="shared" ca="1" si="9"/>
        <v>6</v>
      </c>
      <c r="V54" t="str">
        <f t="shared" ca="1" si="10"/>
        <v>Inefficient</v>
      </c>
      <c r="W54">
        <f t="shared" si="11"/>
        <v>123293.73999999999</v>
      </c>
    </row>
    <row r="55" spans="1:23" x14ac:dyDescent="0.35">
      <c r="A55" t="s">
        <v>80</v>
      </c>
      <c r="B55" t="s">
        <v>17</v>
      </c>
      <c r="C55" s="1">
        <v>44642</v>
      </c>
      <c r="D55" s="1">
        <v>44648</v>
      </c>
      <c r="E55" t="s">
        <v>13</v>
      </c>
      <c r="F55" t="s">
        <v>14</v>
      </c>
      <c r="G55">
        <v>1640</v>
      </c>
      <c r="H55">
        <v>77.92</v>
      </c>
      <c r="I55">
        <v>76.41</v>
      </c>
      <c r="J55">
        <v>262</v>
      </c>
      <c r="K55">
        <f t="shared" si="0"/>
        <v>1378</v>
      </c>
      <c r="L55" t="s">
        <v>27</v>
      </c>
      <c r="M55" s="1">
        <f t="shared" si="1"/>
        <v>44648</v>
      </c>
      <c r="N55" t="str">
        <f t="shared" ca="1" si="2"/>
        <v>Net 15</v>
      </c>
      <c r="O55">
        <f t="shared" ca="1" si="3"/>
        <v>15</v>
      </c>
      <c r="P55" s="1">
        <f t="shared" ca="1" si="4"/>
        <v>44663</v>
      </c>
      <c r="Q55" s="1">
        <f t="shared" ca="1" si="5"/>
        <v>44676</v>
      </c>
      <c r="R55">
        <f t="shared" ca="1" si="6"/>
        <v>28</v>
      </c>
      <c r="S55" t="str">
        <f t="shared" ca="1" si="7"/>
        <v>Late</v>
      </c>
      <c r="T55" t="str">
        <f t="shared" ca="1" si="8"/>
        <v>0-30</v>
      </c>
      <c r="U55">
        <f t="shared" ca="1" si="9"/>
        <v>13</v>
      </c>
      <c r="V55" t="str">
        <f t="shared" ca="1" si="10"/>
        <v>Inefficient</v>
      </c>
      <c r="W55">
        <f t="shared" si="11"/>
        <v>125312.4</v>
      </c>
    </row>
    <row r="56" spans="1:23" x14ac:dyDescent="0.35">
      <c r="A56" t="s">
        <v>81</v>
      </c>
      <c r="B56" t="s">
        <v>23</v>
      </c>
      <c r="C56" s="1">
        <v>45127</v>
      </c>
      <c r="D56" s="1">
        <v>45145</v>
      </c>
      <c r="E56" t="s">
        <v>39</v>
      </c>
      <c r="F56" t="s">
        <v>18</v>
      </c>
      <c r="G56">
        <v>1317</v>
      </c>
      <c r="H56">
        <v>68.13</v>
      </c>
      <c r="I56">
        <v>60.52</v>
      </c>
      <c r="J56">
        <v>136</v>
      </c>
      <c r="K56">
        <f t="shared" si="0"/>
        <v>1181</v>
      </c>
      <c r="L56" t="s">
        <v>15</v>
      </c>
      <c r="M56" s="1">
        <f t="shared" si="1"/>
        <v>45145</v>
      </c>
      <c r="N56" t="str">
        <f t="shared" ca="1" si="2"/>
        <v>Net 45</v>
      </c>
      <c r="O56">
        <f t="shared" ca="1" si="3"/>
        <v>45</v>
      </c>
      <c r="P56" s="1">
        <f t="shared" ca="1" si="4"/>
        <v>45190</v>
      </c>
      <c r="Q56" s="1">
        <f t="shared" ca="1" si="5"/>
        <v>45187</v>
      </c>
      <c r="R56">
        <f t="shared" ca="1" si="6"/>
        <v>42</v>
      </c>
      <c r="S56" t="str">
        <f t="shared" ca="1" si="7"/>
        <v>On Time</v>
      </c>
      <c r="T56" t="str">
        <f t="shared" ca="1" si="8"/>
        <v>31-60</v>
      </c>
      <c r="U56">
        <f t="shared" ca="1" si="9"/>
        <v>0</v>
      </c>
      <c r="V56" t="str">
        <f t="shared" ca="1" si="10"/>
        <v>Efficient</v>
      </c>
      <c r="W56">
        <f t="shared" si="11"/>
        <v>79704.840000000011</v>
      </c>
    </row>
    <row r="57" spans="1:23" x14ac:dyDescent="0.35">
      <c r="A57" t="s">
        <v>82</v>
      </c>
      <c r="B57" t="s">
        <v>29</v>
      </c>
      <c r="C57" s="1">
        <v>44862</v>
      </c>
      <c r="D57" s="1">
        <v>44864</v>
      </c>
      <c r="E57" t="s">
        <v>26</v>
      </c>
      <c r="F57" t="s">
        <v>18</v>
      </c>
      <c r="G57">
        <v>881</v>
      </c>
      <c r="H57">
        <v>100.94</v>
      </c>
      <c r="I57">
        <v>95.05</v>
      </c>
      <c r="J57">
        <v>30</v>
      </c>
      <c r="K57">
        <f t="shared" si="0"/>
        <v>851</v>
      </c>
      <c r="L57" t="s">
        <v>15</v>
      </c>
      <c r="M57" s="1">
        <f t="shared" si="1"/>
        <v>44864</v>
      </c>
      <c r="N57" t="str">
        <f t="shared" ca="1" si="2"/>
        <v>Net 45</v>
      </c>
      <c r="O57">
        <f t="shared" ca="1" si="3"/>
        <v>45</v>
      </c>
      <c r="P57" s="1">
        <f t="shared" ca="1" si="4"/>
        <v>44909</v>
      </c>
      <c r="Q57" s="1">
        <f t="shared" ca="1" si="5"/>
        <v>44914</v>
      </c>
      <c r="R57">
        <f t="shared" ca="1" si="6"/>
        <v>50</v>
      </c>
      <c r="S57" t="str">
        <f t="shared" ca="1" si="7"/>
        <v>Late</v>
      </c>
      <c r="T57" t="str">
        <f t="shared" ca="1" si="8"/>
        <v>31-60</v>
      </c>
      <c r="U57">
        <f t="shared" ca="1" si="9"/>
        <v>5</v>
      </c>
      <c r="V57" t="str">
        <f t="shared" ca="1" si="10"/>
        <v>Inefficient</v>
      </c>
      <c r="W57">
        <f t="shared" si="11"/>
        <v>83739.05</v>
      </c>
    </row>
    <row r="58" spans="1:23" x14ac:dyDescent="0.35">
      <c r="A58" t="s">
        <v>83</v>
      </c>
      <c r="B58" t="s">
        <v>17</v>
      </c>
      <c r="C58" s="1">
        <v>45205</v>
      </c>
      <c r="E58" t="s">
        <v>24</v>
      </c>
      <c r="F58" t="s">
        <v>18</v>
      </c>
      <c r="G58">
        <v>1578</v>
      </c>
      <c r="H58">
        <v>48.33</v>
      </c>
      <c r="I58">
        <v>42.77</v>
      </c>
      <c r="J58">
        <v>206</v>
      </c>
      <c r="K58">
        <f t="shared" si="0"/>
        <v>1372</v>
      </c>
      <c r="L58" t="s">
        <v>15</v>
      </c>
      <c r="M58" s="1">
        <f t="shared" si="1"/>
        <v>0</v>
      </c>
      <c r="N58" t="str">
        <f t="shared" ca="1" si="2"/>
        <v>Net 30</v>
      </c>
      <c r="O58">
        <f t="shared" ca="1" si="3"/>
        <v>30</v>
      </c>
      <c r="P58" s="1">
        <f t="shared" ca="1" si="4"/>
        <v>30</v>
      </c>
      <c r="Q58" s="1">
        <f t="shared" ca="1" si="5"/>
        <v>31</v>
      </c>
      <c r="R58">
        <f t="shared" ca="1" si="6"/>
        <v>31</v>
      </c>
      <c r="S58" t="str">
        <f t="shared" ca="1" si="7"/>
        <v>Late</v>
      </c>
      <c r="T58" t="str">
        <f t="shared" ca="1" si="8"/>
        <v>31-60</v>
      </c>
      <c r="U58">
        <f t="shared" ca="1" si="9"/>
        <v>1</v>
      </c>
      <c r="V58" t="str">
        <f t="shared" ca="1" si="10"/>
        <v>Inefficient</v>
      </c>
      <c r="W58">
        <f t="shared" si="11"/>
        <v>67491.06</v>
      </c>
    </row>
    <row r="59" spans="1:23" x14ac:dyDescent="0.35">
      <c r="A59" t="s">
        <v>84</v>
      </c>
      <c r="B59" t="s">
        <v>17</v>
      </c>
      <c r="C59" s="1">
        <v>45195</v>
      </c>
      <c r="D59" s="1">
        <v>45200</v>
      </c>
      <c r="E59" t="s">
        <v>21</v>
      </c>
      <c r="F59" t="s">
        <v>18</v>
      </c>
      <c r="G59">
        <v>1204</v>
      </c>
      <c r="H59">
        <v>39.29</v>
      </c>
      <c r="I59">
        <v>35.44</v>
      </c>
      <c r="K59">
        <f t="shared" si="0"/>
        <v>1204</v>
      </c>
      <c r="L59" t="s">
        <v>15</v>
      </c>
      <c r="M59" s="1">
        <f t="shared" si="1"/>
        <v>45200</v>
      </c>
      <c r="N59" t="str">
        <f t="shared" ca="1" si="2"/>
        <v>Net 30</v>
      </c>
      <c r="O59">
        <f t="shared" ca="1" si="3"/>
        <v>30</v>
      </c>
      <c r="P59" s="1">
        <f t="shared" ca="1" si="4"/>
        <v>45230</v>
      </c>
      <c r="Q59" s="1">
        <f t="shared" ca="1" si="5"/>
        <v>45235</v>
      </c>
      <c r="R59">
        <f t="shared" ca="1" si="6"/>
        <v>35</v>
      </c>
      <c r="S59" t="str">
        <f t="shared" ca="1" si="7"/>
        <v>Late</v>
      </c>
      <c r="T59" t="str">
        <f t="shared" ca="1" si="8"/>
        <v>31-60</v>
      </c>
      <c r="U59">
        <f t="shared" ca="1" si="9"/>
        <v>5</v>
      </c>
      <c r="V59" t="str">
        <f t="shared" ca="1" si="10"/>
        <v>Inefficient</v>
      </c>
      <c r="W59">
        <f t="shared" si="11"/>
        <v>42669.759999999995</v>
      </c>
    </row>
    <row r="60" spans="1:23" x14ac:dyDescent="0.35">
      <c r="A60" t="s">
        <v>85</v>
      </c>
      <c r="B60" t="s">
        <v>29</v>
      </c>
      <c r="C60" s="1">
        <v>44932</v>
      </c>
      <c r="D60" s="1">
        <v>44948</v>
      </c>
      <c r="E60" t="s">
        <v>21</v>
      </c>
      <c r="F60" t="s">
        <v>35</v>
      </c>
      <c r="G60">
        <v>1558</v>
      </c>
      <c r="H60">
        <v>93.46</v>
      </c>
      <c r="I60">
        <v>91.27</v>
      </c>
      <c r="J60">
        <v>39</v>
      </c>
      <c r="K60">
        <f t="shared" si="0"/>
        <v>1519</v>
      </c>
      <c r="L60" t="s">
        <v>15</v>
      </c>
      <c r="M60" s="1">
        <f t="shared" si="1"/>
        <v>44948</v>
      </c>
      <c r="N60" t="str">
        <f t="shared" ca="1" si="2"/>
        <v>Net 45</v>
      </c>
      <c r="O60">
        <f t="shared" ca="1" si="3"/>
        <v>45</v>
      </c>
      <c r="P60" s="1">
        <f t="shared" ca="1" si="4"/>
        <v>44993</v>
      </c>
      <c r="Q60" s="1">
        <f t="shared" ca="1" si="5"/>
        <v>44995</v>
      </c>
      <c r="R60">
        <f t="shared" ca="1" si="6"/>
        <v>47</v>
      </c>
      <c r="S60" t="str">
        <f t="shared" ca="1" si="7"/>
        <v>Late</v>
      </c>
      <c r="T60" t="str">
        <f t="shared" ca="1" si="8"/>
        <v>31-60</v>
      </c>
      <c r="U60">
        <f t="shared" ca="1" si="9"/>
        <v>2</v>
      </c>
      <c r="V60" t="str">
        <f t="shared" ca="1" si="10"/>
        <v>Inefficient</v>
      </c>
      <c r="W60">
        <f t="shared" si="11"/>
        <v>142198.66</v>
      </c>
    </row>
    <row r="61" spans="1:23" x14ac:dyDescent="0.35">
      <c r="A61" t="s">
        <v>86</v>
      </c>
      <c r="B61" t="s">
        <v>12</v>
      </c>
      <c r="C61" s="1">
        <v>45153</v>
      </c>
      <c r="D61" s="1">
        <v>45154</v>
      </c>
      <c r="E61" t="s">
        <v>24</v>
      </c>
      <c r="F61" t="s">
        <v>18</v>
      </c>
      <c r="G61">
        <v>1892</v>
      </c>
      <c r="H61">
        <v>32.99</v>
      </c>
      <c r="I61">
        <v>28.81</v>
      </c>
      <c r="J61">
        <v>35</v>
      </c>
      <c r="K61">
        <f t="shared" si="0"/>
        <v>1857</v>
      </c>
      <c r="L61" t="s">
        <v>15</v>
      </c>
      <c r="M61" s="1">
        <f t="shared" si="1"/>
        <v>45154</v>
      </c>
      <c r="N61" t="str">
        <f t="shared" ca="1" si="2"/>
        <v>Net 15</v>
      </c>
      <c r="O61">
        <f t="shared" ca="1" si="3"/>
        <v>15</v>
      </c>
      <c r="P61" s="1">
        <f t="shared" ca="1" si="4"/>
        <v>45169</v>
      </c>
      <c r="Q61" s="1">
        <f t="shared" ca="1" si="5"/>
        <v>45174</v>
      </c>
      <c r="R61">
        <f t="shared" ca="1" si="6"/>
        <v>20</v>
      </c>
      <c r="S61" t="str">
        <f t="shared" ca="1" si="7"/>
        <v>Late</v>
      </c>
      <c r="T61" t="str">
        <f t="shared" ca="1" si="8"/>
        <v>0-30</v>
      </c>
      <c r="U61">
        <f t="shared" ca="1" si="9"/>
        <v>5</v>
      </c>
      <c r="V61" t="str">
        <f t="shared" ca="1" si="10"/>
        <v>Inefficient</v>
      </c>
      <c r="W61">
        <f t="shared" si="11"/>
        <v>54508.52</v>
      </c>
    </row>
    <row r="62" spans="1:23" x14ac:dyDescent="0.35">
      <c r="A62" t="s">
        <v>87</v>
      </c>
      <c r="B62" t="s">
        <v>29</v>
      </c>
      <c r="C62" s="1">
        <v>44758</v>
      </c>
      <c r="D62" s="1">
        <v>44774</v>
      </c>
      <c r="E62" t="s">
        <v>24</v>
      </c>
      <c r="F62" t="s">
        <v>18</v>
      </c>
      <c r="G62">
        <v>696</v>
      </c>
      <c r="H62">
        <v>99.59</v>
      </c>
      <c r="I62">
        <v>90.18</v>
      </c>
      <c r="J62">
        <v>25</v>
      </c>
      <c r="K62">
        <f t="shared" si="0"/>
        <v>671</v>
      </c>
      <c r="L62" t="s">
        <v>15</v>
      </c>
      <c r="M62" s="1">
        <f t="shared" si="1"/>
        <v>44774</v>
      </c>
      <c r="N62" t="str">
        <f t="shared" ca="1" si="2"/>
        <v>Net 15</v>
      </c>
      <c r="O62">
        <f t="shared" ca="1" si="3"/>
        <v>15</v>
      </c>
      <c r="P62" s="1">
        <f t="shared" ca="1" si="4"/>
        <v>44789</v>
      </c>
      <c r="Q62" s="1">
        <f t="shared" ca="1" si="5"/>
        <v>44809</v>
      </c>
      <c r="R62">
        <f t="shared" ca="1" si="6"/>
        <v>35</v>
      </c>
      <c r="S62" t="str">
        <f t="shared" ca="1" si="7"/>
        <v>Late</v>
      </c>
      <c r="T62" t="str">
        <f t="shared" ca="1" si="8"/>
        <v>31-60</v>
      </c>
      <c r="U62">
        <f t="shared" ca="1" si="9"/>
        <v>20</v>
      </c>
      <c r="V62" t="str">
        <f t="shared" ca="1" si="10"/>
        <v>Inefficient</v>
      </c>
      <c r="W62">
        <f t="shared" si="11"/>
        <v>62765.280000000006</v>
      </c>
    </row>
    <row r="63" spans="1:23" x14ac:dyDescent="0.35">
      <c r="A63" t="s">
        <v>88</v>
      </c>
      <c r="B63" t="s">
        <v>17</v>
      </c>
      <c r="C63" s="1">
        <v>45283</v>
      </c>
      <c r="D63" s="1">
        <v>45294</v>
      </c>
      <c r="E63" t="s">
        <v>21</v>
      </c>
      <c r="F63" t="s">
        <v>33</v>
      </c>
      <c r="G63">
        <v>70</v>
      </c>
      <c r="H63">
        <v>12.37</v>
      </c>
      <c r="I63">
        <v>11.04</v>
      </c>
      <c r="J63">
        <v>10</v>
      </c>
      <c r="K63">
        <f t="shared" si="0"/>
        <v>60</v>
      </c>
      <c r="L63" t="s">
        <v>15</v>
      </c>
      <c r="M63" s="1">
        <f t="shared" si="1"/>
        <v>45294</v>
      </c>
      <c r="N63" t="str">
        <f t="shared" ca="1" si="2"/>
        <v>Net 30</v>
      </c>
      <c r="O63">
        <f t="shared" ca="1" si="3"/>
        <v>30</v>
      </c>
      <c r="P63" s="1">
        <f t="shared" ca="1" si="4"/>
        <v>45324</v>
      </c>
      <c r="Q63" s="1">
        <f t="shared" ca="1" si="5"/>
        <v>45319</v>
      </c>
      <c r="R63">
        <f t="shared" ca="1" si="6"/>
        <v>25</v>
      </c>
      <c r="S63" t="str">
        <f t="shared" ca="1" si="7"/>
        <v>On Time</v>
      </c>
      <c r="T63" t="str">
        <f t="shared" ca="1" si="8"/>
        <v>0-30</v>
      </c>
      <c r="U63">
        <f t="shared" ca="1" si="9"/>
        <v>0</v>
      </c>
      <c r="V63" t="str">
        <f t="shared" ca="1" si="10"/>
        <v>Efficient</v>
      </c>
      <c r="W63">
        <f t="shared" si="11"/>
        <v>772.8</v>
      </c>
    </row>
    <row r="64" spans="1:23" x14ac:dyDescent="0.35">
      <c r="A64" t="s">
        <v>89</v>
      </c>
      <c r="B64" t="s">
        <v>20</v>
      </c>
      <c r="C64" s="1">
        <v>44633</v>
      </c>
      <c r="D64" s="1">
        <v>44635</v>
      </c>
      <c r="E64" t="s">
        <v>26</v>
      </c>
      <c r="F64" t="s">
        <v>18</v>
      </c>
      <c r="G64">
        <v>890</v>
      </c>
      <c r="H64">
        <v>98.26</v>
      </c>
      <c r="I64">
        <v>93.14</v>
      </c>
      <c r="J64">
        <v>49</v>
      </c>
      <c r="K64">
        <f t="shared" si="0"/>
        <v>841</v>
      </c>
      <c r="L64" t="s">
        <v>15</v>
      </c>
      <c r="M64" s="1">
        <f t="shared" si="1"/>
        <v>44635</v>
      </c>
      <c r="N64" t="str">
        <f t="shared" ca="1" si="2"/>
        <v>Net 45</v>
      </c>
      <c r="O64">
        <f t="shared" ca="1" si="3"/>
        <v>45</v>
      </c>
      <c r="P64" s="1">
        <f t="shared" ca="1" si="4"/>
        <v>44680</v>
      </c>
      <c r="Q64" s="1">
        <f t="shared" ca="1" si="5"/>
        <v>44676</v>
      </c>
      <c r="R64">
        <f t="shared" ca="1" si="6"/>
        <v>41</v>
      </c>
      <c r="S64" t="str">
        <f t="shared" ca="1" si="7"/>
        <v>On Time</v>
      </c>
      <c r="T64" t="str">
        <f t="shared" ca="1" si="8"/>
        <v>31-60</v>
      </c>
      <c r="U64">
        <f t="shared" ca="1" si="9"/>
        <v>0</v>
      </c>
      <c r="V64" t="str">
        <f t="shared" ca="1" si="10"/>
        <v>Efficient</v>
      </c>
      <c r="W64">
        <f t="shared" si="11"/>
        <v>82894.600000000006</v>
      </c>
    </row>
    <row r="65" spans="1:23" x14ac:dyDescent="0.35">
      <c r="A65" t="s">
        <v>90</v>
      </c>
      <c r="B65" t="s">
        <v>12</v>
      </c>
      <c r="C65" s="1">
        <v>44608</v>
      </c>
      <c r="D65" s="1">
        <v>44624</v>
      </c>
      <c r="E65" t="s">
        <v>21</v>
      </c>
      <c r="F65" t="s">
        <v>18</v>
      </c>
      <c r="G65">
        <v>216</v>
      </c>
      <c r="H65">
        <v>13.95</v>
      </c>
      <c r="I65">
        <v>12.31</v>
      </c>
      <c r="J65">
        <v>5</v>
      </c>
      <c r="K65">
        <f t="shared" si="0"/>
        <v>211</v>
      </c>
      <c r="L65" t="s">
        <v>15</v>
      </c>
      <c r="M65" s="1">
        <f t="shared" si="1"/>
        <v>44624</v>
      </c>
      <c r="N65" t="str">
        <f t="shared" ca="1" si="2"/>
        <v>Net 30</v>
      </c>
      <c r="O65">
        <f t="shared" ca="1" si="3"/>
        <v>30</v>
      </c>
      <c r="P65" s="1">
        <f t="shared" ca="1" si="4"/>
        <v>44654</v>
      </c>
      <c r="Q65" s="1">
        <f t="shared" ca="1" si="5"/>
        <v>44657</v>
      </c>
      <c r="R65">
        <f t="shared" ca="1" si="6"/>
        <v>33</v>
      </c>
      <c r="S65" t="str">
        <f t="shared" ca="1" si="7"/>
        <v>Late</v>
      </c>
      <c r="T65" t="str">
        <f t="shared" ca="1" si="8"/>
        <v>31-60</v>
      </c>
      <c r="U65">
        <f t="shared" ca="1" si="9"/>
        <v>3</v>
      </c>
      <c r="V65" t="str">
        <f t="shared" ca="1" si="10"/>
        <v>Inefficient</v>
      </c>
      <c r="W65">
        <f t="shared" si="11"/>
        <v>2658.96</v>
      </c>
    </row>
    <row r="66" spans="1:23" x14ac:dyDescent="0.35">
      <c r="A66" t="s">
        <v>91</v>
      </c>
      <c r="B66" t="s">
        <v>17</v>
      </c>
      <c r="C66" s="1">
        <v>45239</v>
      </c>
      <c r="D66" s="1">
        <v>45242</v>
      </c>
      <c r="E66" t="s">
        <v>24</v>
      </c>
      <c r="F66" t="s">
        <v>18</v>
      </c>
      <c r="G66">
        <v>1347</v>
      </c>
      <c r="H66">
        <v>100.13</v>
      </c>
      <c r="I66">
        <v>94.3</v>
      </c>
      <c r="J66">
        <v>200</v>
      </c>
      <c r="K66">
        <f t="shared" si="0"/>
        <v>1147</v>
      </c>
      <c r="L66" t="s">
        <v>15</v>
      </c>
      <c r="M66" s="1">
        <f t="shared" si="1"/>
        <v>45242</v>
      </c>
      <c r="N66" t="str">
        <f t="shared" ca="1" si="2"/>
        <v>Net 30</v>
      </c>
      <c r="O66">
        <f t="shared" ca="1" si="3"/>
        <v>30</v>
      </c>
      <c r="P66" s="1">
        <f t="shared" ca="1" si="4"/>
        <v>45272</v>
      </c>
      <c r="Q66" s="1">
        <f t="shared" ca="1" si="5"/>
        <v>45284</v>
      </c>
      <c r="R66">
        <f t="shared" ca="1" si="6"/>
        <v>42</v>
      </c>
      <c r="S66" t="str">
        <f t="shared" ca="1" si="7"/>
        <v>Late</v>
      </c>
      <c r="T66" t="str">
        <f t="shared" ca="1" si="8"/>
        <v>31-60</v>
      </c>
      <c r="U66">
        <f t="shared" ca="1" si="9"/>
        <v>12</v>
      </c>
      <c r="V66" t="str">
        <f t="shared" ca="1" si="10"/>
        <v>Inefficient</v>
      </c>
      <c r="W66">
        <f t="shared" si="11"/>
        <v>127022.09999999999</v>
      </c>
    </row>
    <row r="67" spans="1:23" x14ac:dyDescent="0.35">
      <c r="A67" t="s">
        <v>92</v>
      </c>
      <c r="B67" t="s">
        <v>20</v>
      </c>
      <c r="C67" s="1">
        <v>44795</v>
      </c>
      <c r="D67" s="1">
        <v>44798</v>
      </c>
      <c r="E67" t="s">
        <v>13</v>
      </c>
      <c r="F67" t="s">
        <v>33</v>
      </c>
      <c r="G67">
        <v>437</v>
      </c>
      <c r="H67">
        <v>59.51</v>
      </c>
      <c r="I67">
        <v>56.45</v>
      </c>
      <c r="J67">
        <v>25</v>
      </c>
      <c r="K67">
        <f t="shared" ref="K67:K130" si="12">G67-J67</f>
        <v>412</v>
      </c>
      <c r="L67" t="s">
        <v>27</v>
      </c>
      <c r="M67" s="1">
        <f t="shared" ref="M67:M130" si="13">D67</f>
        <v>44798</v>
      </c>
      <c r="N67" t="str">
        <f t="shared" ref="N67:N130" ca="1" si="14">CHOOSE(RANDBETWEEN(1,3),"Net 15","Net 30","Net 45")</f>
        <v>Net 30</v>
      </c>
      <c r="O67">
        <f t="shared" ref="O67:O130" ca="1" si="15">VALUE(RIGHT(N67,2))</f>
        <v>30</v>
      </c>
      <c r="P67" s="1">
        <f t="shared" ref="P67:P130" ca="1" si="16">(M67+O67)</f>
        <v>44828</v>
      </c>
      <c r="Q67" s="1">
        <f t="shared" ref="Q67:Q130" ca="1" si="17">P67 + RANDBETWEEN(-5,20)</f>
        <v>44830</v>
      </c>
      <c r="R67">
        <f t="shared" ref="R67:R130" ca="1" si="18">Q67-M67</f>
        <v>32</v>
      </c>
      <c r="S67" t="str">
        <f t="shared" ref="S67:S130" ca="1" si="19">IF(Q67&lt;=P67,"On Time","Late")</f>
        <v>Late</v>
      </c>
      <c r="T67" t="str">
        <f t="shared" ref="T67:T130" ca="1" si="20">IF(R67&lt;=30,"0-30",
IF(R67&lt;=60,"31-60",
IF(R67&lt;=90,"61-90","90+")))</f>
        <v>31-60</v>
      </c>
      <c r="U67">
        <f t="shared" ref="U67:U130" ca="1" si="21">MAX(0,Q67-P67)</f>
        <v>2</v>
      </c>
      <c r="V67" t="str">
        <f t="shared" ref="V67:V130" ca="1" si="22">IF(U67=0,"Efficient","Inefficient")</f>
        <v>Inefficient</v>
      </c>
      <c r="W67">
        <f t="shared" ref="W67:W130" si="23">G67*I67</f>
        <v>24668.65</v>
      </c>
    </row>
    <row r="68" spans="1:23" x14ac:dyDescent="0.35">
      <c r="A68" t="s">
        <v>93</v>
      </c>
      <c r="B68" t="s">
        <v>12</v>
      </c>
      <c r="C68" s="1">
        <v>44858</v>
      </c>
      <c r="D68" s="1">
        <v>44860</v>
      </c>
      <c r="E68" t="s">
        <v>39</v>
      </c>
      <c r="F68" t="s">
        <v>18</v>
      </c>
      <c r="G68">
        <v>650</v>
      </c>
      <c r="H68">
        <v>103.84</v>
      </c>
      <c r="I68">
        <v>88.28</v>
      </c>
      <c r="J68">
        <v>12</v>
      </c>
      <c r="K68">
        <f t="shared" si="12"/>
        <v>638</v>
      </c>
      <c r="L68" t="s">
        <v>15</v>
      </c>
      <c r="M68" s="1">
        <f t="shared" si="13"/>
        <v>44860</v>
      </c>
      <c r="N68" t="str">
        <f t="shared" ca="1" si="14"/>
        <v>Net 45</v>
      </c>
      <c r="O68">
        <f t="shared" ca="1" si="15"/>
        <v>45</v>
      </c>
      <c r="P68" s="1">
        <f t="shared" ca="1" si="16"/>
        <v>44905</v>
      </c>
      <c r="Q68" s="1">
        <f t="shared" ca="1" si="17"/>
        <v>44907</v>
      </c>
      <c r="R68">
        <f t="shared" ca="1" si="18"/>
        <v>47</v>
      </c>
      <c r="S68" t="str">
        <f t="shared" ca="1" si="19"/>
        <v>Late</v>
      </c>
      <c r="T68" t="str">
        <f t="shared" ca="1" si="20"/>
        <v>31-60</v>
      </c>
      <c r="U68">
        <f t="shared" ca="1" si="21"/>
        <v>2</v>
      </c>
      <c r="V68" t="str">
        <f t="shared" ca="1" si="22"/>
        <v>Inefficient</v>
      </c>
      <c r="W68">
        <f t="shared" si="23"/>
        <v>57382</v>
      </c>
    </row>
    <row r="69" spans="1:23" x14ac:dyDescent="0.35">
      <c r="A69" t="s">
        <v>94</v>
      </c>
      <c r="B69" t="s">
        <v>23</v>
      </c>
      <c r="C69" s="1">
        <v>44643</v>
      </c>
      <c r="D69" s="1">
        <v>44662</v>
      </c>
      <c r="E69" t="s">
        <v>13</v>
      </c>
      <c r="F69" t="s">
        <v>18</v>
      </c>
      <c r="G69">
        <v>365</v>
      </c>
      <c r="H69">
        <v>16.809999999999999</v>
      </c>
      <c r="I69">
        <v>15.41</v>
      </c>
      <c r="J69">
        <v>38</v>
      </c>
      <c r="K69">
        <f t="shared" si="12"/>
        <v>327</v>
      </c>
      <c r="L69" t="s">
        <v>15</v>
      </c>
      <c r="M69" s="1">
        <f t="shared" si="13"/>
        <v>44662</v>
      </c>
      <c r="N69" t="str">
        <f t="shared" ca="1" si="14"/>
        <v>Net 15</v>
      </c>
      <c r="O69">
        <f t="shared" ca="1" si="15"/>
        <v>15</v>
      </c>
      <c r="P69" s="1">
        <f t="shared" ca="1" si="16"/>
        <v>44677</v>
      </c>
      <c r="Q69" s="1">
        <f t="shared" ca="1" si="17"/>
        <v>44672</v>
      </c>
      <c r="R69">
        <f t="shared" ca="1" si="18"/>
        <v>10</v>
      </c>
      <c r="S69" t="str">
        <f t="shared" ca="1" si="19"/>
        <v>On Time</v>
      </c>
      <c r="T69" t="str">
        <f t="shared" ca="1" si="20"/>
        <v>0-30</v>
      </c>
      <c r="U69">
        <f t="shared" ca="1" si="21"/>
        <v>0</v>
      </c>
      <c r="V69" t="str">
        <f t="shared" ca="1" si="22"/>
        <v>Efficient</v>
      </c>
      <c r="W69">
        <f t="shared" si="23"/>
        <v>5624.65</v>
      </c>
    </row>
    <row r="70" spans="1:23" x14ac:dyDescent="0.35">
      <c r="A70" t="s">
        <v>95</v>
      </c>
      <c r="B70" t="s">
        <v>29</v>
      </c>
      <c r="C70" s="1">
        <v>44800</v>
      </c>
      <c r="E70" t="s">
        <v>26</v>
      </c>
      <c r="F70" t="s">
        <v>14</v>
      </c>
      <c r="G70">
        <v>63</v>
      </c>
      <c r="H70">
        <v>61.94</v>
      </c>
      <c r="I70">
        <v>53.8</v>
      </c>
      <c r="K70">
        <f t="shared" si="12"/>
        <v>63</v>
      </c>
      <c r="L70" t="s">
        <v>15</v>
      </c>
      <c r="M70" s="1">
        <f t="shared" si="13"/>
        <v>0</v>
      </c>
      <c r="N70" t="str">
        <f t="shared" ca="1" si="14"/>
        <v>Net 45</v>
      </c>
      <c r="O70">
        <f t="shared" ca="1" si="15"/>
        <v>45</v>
      </c>
      <c r="P70" s="1">
        <f t="shared" ca="1" si="16"/>
        <v>45</v>
      </c>
      <c r="Q70" s="1">
        <f t="shared" ca="1" si="17"/>
        <v>48</v>
      </c>
      <c r="R70">
        <f t="shared" ca="1" si="18"/>
        <v>48</v>
      </c>
      <c r="S70" t="str">
        <f t="shared" ca="1" si="19"/>
        <v>Late</v>
      </c>
      <c r="T70" t="str">
        <f t="shared" ca="1" si="20"/>
        <v>31-60</v>
      </c>
      <c r="U70">
        <f t="shared" ca="1" si="21"/>
        <v>3</v>
      </c>
      <c r="V70" t="str">
        <f t="shared" ca="1" si="22"/>
        <v>Inefficient</v>
      </c>
      <c r="W70">
        <f t="shared" si="23"/>
        <v>3389.3999999999996</v>
      </c>
    </row>
    <row r="71" spans="1:23" x14ac:dyDescent="0.35">
      <c r="A71" t="s">
        <v>96</v>
      </c>
      <c r="B71" t="s">
        <v>12</v>
      </c>
      <c r="C71" s="1">
        <v>44665</v>
      </c>
      <c r="D71" s="1">
        <v>44673</v>
      </c>
      <c r="E71" t="s">
        <v>21</v>
      </c>
      <c r="F71" t="s">
        <v>18</v>
      </c>
      <c r="G71">
        <v>291</v>
      </c>
      <c r="H71">
        <v>98.7</v>
      </c>
      <c r="I71">
        <v>87.02</v>
      </c>
      <c r="J71">
        <v>9</v>
      </c>
      <c r="K71">
        <f t="shared" si="12"/>
        <v>282</v>
      </c>
      <c r="L71" t="s">
        <v>15</v>
      </c>
      <c r="M71" s="1">
        <f t="shared" si="13"/>
        <v>44673</v>
      </c>
      <c r="N71" t="str">
        <f t="shared" ca="1" si="14"/>
        <v>Net 30</v>
      </c>
      <c r="O71">
        <f t="shared" ca="1" si="15"/>
        <v>30</v>
      </c>
      <c r="P71" s="1">
        <f t="shared" ca="1" si="16"/>
        <v>44703</v>
      </c>
      <c r="Q71" s="1">
        <f t="shared" ca="1" si="17"/>
        <v>44721</v>
      </c>
      <c r="R71">
        <f t="shared" ca="1" si="18"/>
        <v>48</v>
      </c>
      <c r="S71" t="str">
        <f t="shared" ca="1" si="19"/>
        <v>Late</v>
      </c>
      <c r="T71" t="str">
        <f t="shared" ca="1" si="20"/>
        <v>31-60</v>
      </c>
      <c r="U71">
        <f t="shared" ca="1" si="21"/>
        <v>18</v>
      </c>
      <c r="V71" t="str">
        <f t="shared" ca="1" si="22"/>
        <v>Inefficient</v>
      </c>
      <c r="W71">
        <f t="shared" si="23"/>
        <v>25322.82</v>
      </c>
    </row>
    <row r="72" spans="1:23" x14ac:dyDescent="0.35">
      <c r="A72" t="s">
        <v>97</v>
      </c>
      <c r="B72" t="s">
        <v>12</v>
      </c>
      <c r="C72" s="1">
        <v>44951</v>
      </c>
      <c r="D72" s="1">
        <v>44965</v>
      </c>
      <c r="E72" t="s">
        <v>21</v>
      </c>
      <c r="F72" t="s">
        <v>14</v>
      </c>
      <c r="G72">
        <v>826</v>
      </c>
      <c r="H72">
        <v>60.5</v>
      </c>
      <c r="I72">
        <v>57.18</v>
      </c>
      <c r="J72">
        <v>18</v>
      </c>
      <c r="K72">
        <f t="shared" si="12"/>
        <v>808</v>
      </c>
      <c r="L72" t="s">
        <v>15</v>
      </c>
      <c r="M72" s="1">
        <f t="shared" si="13"/>
        <v>44965</v>
      </c>
      <c r="N72" t="str">
        <f t="shared" ca="1" si="14"/>
        <v>Net 30</v>
      </c>
      <c r="O72">
        <f t="shared" ca="1" si="15"/>
        <v>30</v>
      </c>
      <c r="P72" s="1">
        <f t="shared" ca="1" si="16"/>
        <v>44995</v>
      </c>
      <c r="Q72" s="1">
        <f t="shared" ca="1" si="17"/>
        <v>45012</v>
      </c>
      <c r="R72">
        <f t="shared" ca="1" si="18"/>
        <v>47</v>
      </c>
      <c r="S72" t="str">
        <f t="shared" ca="1" si="19"/>
        <v>Late</v>
      </c>
      <c r="T72" t="str">
        <f t="shared" ca="1" si="20"/>
        <v>31-60</v>
      </c>
      <c r="U72">
        <f t="shared" ca="1" si="21"/>
        <v>17</v>
      </c>
      <c r="V72" t="str">
        <f t="shared" ca="1" si="22"/>
        <v>Inefficient</v>
      </c>
      <c r="W72">
        <f t="shared" si="23"/>
        <v>47230.68</v>
      </c>
    </row>
    <row r="73" spans="1:23" x14ac:dyDescent="0.35">
      <c r="A73" t="s">
        <v>98</v>
      </c>
      <c r="B73" t="s">
        <v>17</v>
      </c>
      <c r="C73" s="1">
        <v>44846</v>
      </c>
      <c r="D73" s="1">
        <v>44866</v>
      </c>
      <c r="E73" t="s">
        <v>39</v>
      </c>
      <c r="F73" t="s">
        <v>35</v>
      </c>
      <c r="G73">
        <v>1419</v>
      </c>
      <c r="H73">
        <v>69.64</v>
      </c>
      <c r="I73">
        <v>59.28</v>
      </c>
      <c r="J73">
        <v>194</v>
      </c>
      <c r="K73">
        <f t="shared" si="12"/>
        <v>1225</v>
      </c>
      <c r="L73" t="s">
        <v>15</v>
      </c>
      <c r="M73" s="1">
        <f t="shared" si="13"/>
        <v>44866</v>
      </c>
      <c r="N73" t="str">
        <f t="shared" ca="1" si="14"/>
        <v>Net 30</v>
      </c>
      <c r="O73">
        <f t="shared" ca="1" si="15"/>
        <v>30</v>
      </c>
      <c r="P73" s="1">
        <f t="shared" ca="1" si="16"/>
        <v>44896</v>
      </c>
      <c r="Q73" s="1">
        <f t="shared" ca="1" si="17"/>
        <v>44911</v>
      </c>
      <c r="R73">
        <f t="shared" ca="1" si="18"/>
        <v>45</v>
      </c>
      <c r="S73" t="str">
        <f t="shared" ca="1" si="19"/>
        <v>Late</v>
      </c>
      <c r="T73" t="str">
        <f t="shared" ca="1" si="20"/>
        <v>31-60</v>
      </c>
      <c r="U73">
        <f t="shared" ca="1" si="21"/>
        <v>15</v>
      </c>
      <c r="V73" t="str">
        <f t="shared" ca="1" si="22"/>
        <v>Inefficient</v>
      </c>
      <c r="W73">
        <f t="shared" si="23"/>
        <v>84118.32</v>
      </c>
    </row>
    <row r="74" spans="1:23" x14ac:dyDescent="0.35">
      <c r="A74" t="s">
        <v>99</v>
      </c>
      <c r="B74" t="s">
        <v>20</v>
      </c>
      <c r="C74" s="1">
        <v>45026</v>
      </c>
      <c r="D74" s="1">
        <v>45043</v>
      </c>
      <c r="E74" t="s">
        <v>13</v>
      </c>
      <c r="F74" t="s">
        <v>18</v>
      </c>
      <c r="G74">
        <v>614</v>
      </c>
      <c r="H74">
        <v>78.06</v>
      </c>
      <c r="I74">
        <v>73.95</v>
      </c>
      <c r="J74">
        <v>40</v>
      </c>
      <c r="K74">
        <f t="shared" si="12"/>
        <v>574</v>
      </c>
      <c r="L74" t="s">
        <v>15</v>
      </c>
      <c r="M74" s="1">
        <f t="shared" si="13"/>
        <v>45043</v>
      </c>
      <c r="N74" t="str">
        <f t="shared" ca="1" si="14"/>
        <v>Net 15</v>
      </c>
      <c r="O74">
        <f t="shared" ca="1" si="15"/>
        <v>15</v>
      </c>
      <c r="P74" s="1">
        <f t="shared" ca="1" si="16"/>
        <v>45058</v>
      </c>
      <c r="Q74" s="1">
        <f t="shared" ca="1" si="17"/>
        <v>45060</v>
      </c>
      <c r="R74">
        <f t="shared" ca="1" si="18"/>
        <v>17</v>
      </c>
      <c r="S74" t="str">
        <f t="shared" ca="1" si="19"/>
        <v>Late</v>
      </c>
      <c r="T74" t="str">
        <f t="shared" ca="1" si="20"/>
        <v>0-30</v>
      </c>
      <c r="U74">
        <f t="shared" ca="1" si="21"/>
        <v>2</v>
      </c>
      <c r="V74" t="str">
        <f t="shared" ca="1" si="22"/>
        <v>Inefficient</v>
      </c>
      <c r="W74">
        <f t="shared" si="23"/>
        <v>45405.3</v>
      </c>
    </row>
    <row r="75" spans="1:23" x14ac:dyDescent="0.35">
      <c r="A75" t="s">
        <v>100</v>
      </c>
      <c r="B75" t="s">
        <v>12</v>
      </c>
      <c r="C75" s="1">
        <v>45212</v>
      </c>
      <c r="D75" s="1">
        <v>45227</v>
      </c>
      <c r="E75" t="s">
        <v>39</v>
      </c>
      <c r="F75" t="s">
        <v>18</v>
      </c>
      <c r="G75">
        <v>947</v>
      </c>
      <c r="H75">
        <v>56.25</v>
      </c>
      <c r="I75">
        <v>54.25</v>
      </c>
      <c r="J75">
        <v>19</v>
      </c>
      <c r="K75">
        <f t="shared" si="12"/>
        <v>928</v>
      </c>
      <c r="L75" t="s">
        <v>15</v>
      </c>
      <c r="M75" s="1">
        <f t="shared" si="13"/>
        <v>45227</v>
      </c>
      <c r="N75" t="str">
        <f t="shared" ca="1" si="14"/>
        <v>Net 15</v>
      </c>
      <c r="O75">
        <f t="shared" ca="1" si="15"/>
        <v>15</v>
      </c>
      <c r="P75" s="1">
        <f t="shared" ca="1" si="16"/>
        <v>45242</v>
      </c>
      <c r="Q75" s="1">
        <f t="shared" ca="1" si="17"/>
        <v>45251</v>
      </c>
      <c r="R75">
        <f t="shared" ca="1" si="18"/>
        <v>24</v>
      </c>
      <c r="S75" t="str">
        <f t="shared" ca="1" si="19"/>
        <v>Late</v>
      </c>
      <c r="T75" t="str">
        <f t="shared" ca="1" si="20"/>
        <v>0-30</v>
      </c>
      <c r="U75">
        <f t="shared" ca="1" si="21"/>
        <v>9</v>
      </c>
      <c r="V75" t="str">
        <f t="shared" ca="1" si="22"/>
        <v>Inefficient</v>
      </c>
      <c r="W75">
        <f t="shared" si="23"/>
        <v>51374.75</v>
      </c>
    </row>
    <row r="76" spans="1:23" x14ac:dyDescent="0.35">
      <c r="A76" t="s">
        <v>101</v>
      </c>
      <c r="B76" t="s">
        <v>29</v>
      </c>
      <c r="C76" s="1">
        <v>44935</v>
      </c>
      <c r="D76" s="1">
        <v>44954</v>
      </c>
      <c r="E76" t="s">
        <v>26</v>
      </c>
      <c r="F76" t="s">
        <v>18</v>
      </c>
      <c r="G76">
        <v>1413</v>
      </c>
      <c r="H76">
        <v>70.47</v>
      </c>
      <c r="I76">
        <v>69.650000000000006</v>
      </c>
      <c r="K76">
        <f t="shared" si="12"/>
        <v>1413</v>
      </c>
      <c r="L76" t="s">
        <v>15</v>
      </c>
      <c r="M76" s="1">
        <f t="shared" si="13"/>
        <v>44954</v>
      </c>
      <c r="N76" t="str">
        <f t="shared" ca="1" si="14"/>
        <v>Net 45</v>
      </c>
      <c r="O76">
        <f t="shared" ca="1" si="15"/>
        <v>45</v>
      </c>
      <c r="P76" s="1">
        <f t="shared" ca="1" si="16"/>
        <v>44999</v>
      </c>
      <c r="Q76" s="1">
        <f t="shared" ca="1" si="17"/>
        <v>45003</v>
      </c>
      <c r="R76">
        <f t="shared" ca="1" si="18"/>
        <v>49</v>
      </c>
      <c r="S76" t="str">
        <f t="shared" ca="1" si="19"/>
        <v>Late</v>
      </c>
      <c r="T76" t="str">
        <f t="shared" ca="1" si="20"/>
        <v>31-60</v>
      </c>
      <c r="U76">
        <f t="shared" ca="1" si="21"/>
        <v>4</v>
      </c>
      <c r="V76" t="str">
        <f t="shared" ca="1" si="22"/>
        <v>Inefficient</v>
      </c>
      <c r="W76">
        <f t="shared" si="23"/>
        <v>98415.450000000012</v>
      </c>
    </row>
    <row r="77" spans="1:23" x14ac:dyDescent="0.35">
      <c r="A77" t="s">
        <v>102</v>
      </c>
      <c r="B77" t="s">
        <v>12</v>
      </c>
      <c r="C77" s="1">
        <v>44728</v>
      </c>
      <c r="E77" t="s">
        <v>13</v>
      </c>
      <c r="F77" t="s">
        <v>33</v>
      </c>
      <c r="G77">
        <v>141</v>
      </c>
      <c r="H77">
        <v>64.150000000000006</v>
      </c>
      <c r="I77">
        <v>58.32</v>
      </c>
      <c r="K77">
        <f t="shared" si="12"/>
        <v>141</v>
      </c>
      <c r="L77" t="s">
        <v>15</v>
      </c>
      <c r="M77" s="1">
        <f t="shared" si="13"/>
        <v>0</v>
      </c>
      <c r="N77" t="str">
        <f t="shared" ca="1" si="14"/>
        <v>Net 45</v>
      </c>
      <c r="O77">
        <f t="shared" ca="1" si="15"/>
        <v>45</v>
      </c>
      <c r="P77" s="1">
        <f t="shared" ca="1" si="16"/>
        <v>45</v>
      </c>
      <c r="Q77" s="1">
        <f t="shared" ca="1" si="17"/>
        <v>58</v>
      </c>
      <c r="R77">
        <f t="shared" ca="1" si="18"/>
        <v>58</v>
      </c>
      <c r="S77" t="str">
        <f t="shared" ca="1" si="19"/>
        <v>Late</v>
      </c>
      <c r="T77" t="str">
        <f t="shared" ca="1" si="20"/>
        <v>31-60</v>
      </c>
      <c r="U77">
        <f t="shared" ca="1" si="21"/>
        <v>13</v>
      </c>
      <c r="V77" t="str">
        <f t="shared" ca="1" si="22"/>
        <v>Inefficient</v>
      </c>
      <c r="W77">
        <f t="shared" si="23"/>
        <v>8223.1200000000008</v>
      </c>
    </row>
    <row r="78" spans="1:23" x14ac:dyDescent="0.35">
      <c r="A78" t="s">
        <v>103</v>
      </c>
      <c r="B78" t="s">
        <v>12</v>
      </c>
      <c r="C78" s="1">
        <v>44941</v>
      </c>
      <c r="D78" s="1">
        <v>44961</v>
      </c>
      <c r="E78" t="s">
        <v>13</v>
      </c>
      <c r="F78" t="s">
        <v>18</v>
      </c>
      <c r="G78">
        <v>1440</v>
      </c>
      <c r="H78">
        <v>96.57</v>
      </c>
      <c r="I78">
        <v>83.87</v>
      </c>
      <c r="J78">
        <v>36</v>
      </c>
      <c r="K78">
        <f t="shared" si="12"/>
        <v>1404</v>
      </c>
      <c r="L78" t="s">
        <v>15</v>
      </c>
      <c r="M78" s="1">
        <f t="shared" si="13"/>
        <v>44961</v>
      </c>
      <c r="N78" t="str">
        <f t="shared" ca="1" si="14"/>
        <v>Net 45</v>
      </c>
      <c r="O78">
        <f t="shared" ca="1" si="15"/>
        <v>45</v>
      </c>
      <c r="P78" s="1">
        <f t="shared" ca="1" si="16"/>
        <v>45006</v>
      </c>
      <c r="Q78" s="1">
        <f t="shared" ca="1" si="17"/>
        <v>45008</v>
      </c>
      <c r="R78">
        <f t="shared" ca="1" si="18"/>
        <v>47</v>
      </c>
      <c r="S78" t="str">
        <f t="shared" ca="1" si="19"/>
        <v>Late</v>
      </c>
      <c r="T78" t="str">
        <f t="shared" ca="1" si="20"/>
        <v>31-60</v>
      </c>
      <c r="U78">
        <f t="shared" ca="1" si="21"/>
        <v>2</v>
      </c>
      <c r="V78" t="str">
        <f t="shared" ca="1" si="22"/>
        <v>Inefficient</v>
      </c>
      <c r="W78">
        <f t="shared" si="23"/>
        <v>120772.8</v>
      </c>
    </row>
    <row r="79" spans="1:23" x14ac:dyDescent="0.35">
      <c r="A79" t="s">
        <v>104</v>
      </c>
      <c r="B79" t="s">
        <v>17</v>
      </c>
      <c r="C79" s="1">
        <v>44925</v>
      </c>
      <c r="D79" s="1">
        <v>44929</v>
      </c>
      <c r="E79" t="s">
        <v>26</v>
      </c>
      <c r="F79" t="s">
        <v>18</v>
      </c>
      <c r="G79">
        <v>1005</v>
      </c>
      <c r="H79">
        <v>14.87</v>
      </c>
      <c r="I79">
        <v>12.79</v>
      </c>
      <c r="K79">
        <f t="shared" si="12"/>
        <v>1005</v>
      </c>
      <c r="L79" t="s">
        <v>27</v>
      </c>
      <c r="M79" s="1">
        <f t="shared" si="13"/>
        <v>44929</v>
      </c>
      <c r="N79" t="str">
        <f t="shared" ca="1" si="14"/>
        <v>Net 45</v>
      </c>
      <c r="O79">
        <f t="shared" ca="1" si="15"/>
        <v>45</v>
      </c>
      <c r="P79" s="1">
        <f t="shared" ca="1" si="16"/>
        <v>44974</v>
      </c>
      <c r="Q79" s="1">
        <f t="shared" ca="1" si="17"/>
        <v>44975</v>
      </c>
      <c r="R79">
        <f t="shared" ca="1" si="18"/>
        <v>46</v>
      </c>
      <c r="S79" t="str">
        <f t="shared" ca="1" si="19"/>
        <v>Late</v>
      </c>
      <c r="T79" t="str">
        <f t="shared" ca="1" si="20"/>
        <v>31-60</v>
      </c>
      <c r="U79">
        <f t="shared" ca="1" si="21"/>
        <v>1</v>
      </c>
      <c r="V79" t="str">
        <f t="shared" ca="1" si="22"/>
        <v>Inefficient</v>
      </c>
      <c r="W79">
        <f t="shared" si="23"/>
        <v>12853.949999999999</v>
      </c>
    </row>
    <row r="80" spans="1:23" x14ac:dyDescent="0.35">
      <c r="A80" t="s">
        <v>105</v>
      </c>
      <c r="B80" t="s">
        <v>12</v>
      </c>
      <c r="C80" s="1">
        <v>44776</v>
      </c>
      <c r="E80" t="s">
        <v>21</v>
      </c>
      <c r="F80" t="s">
        <v>18</v>
      </c>
      <c r="G80">
        <v>1528</v>
      </c>
      <c r="H80">
        <v>36.520000000000003</v>
      </c>
      <c r="I80">
        <v>33</v>
      </c>
      <c r="J80">
        <v>31</v>
      </c>
      <c r="K80">
        <f t="shared" si="12"/>
        <v>1497</v>
      </c>
      <c r="L80" t="s">
        <v>27</v>
      </c>
      <c r="M80" s="1">
        <f t="shared" si="13"/>
        <v>0</v>
      </c>
      <c r="N80" t="str">
        <f t="shared" ca="1" si="14"/>
        <v>Net 30</v>
      </c>
      <c r="O80">
        <f t="shared" ca="1" si="15"/>
        <v>30</v>
      </c>
      <c r="P80" s="1">
        <f t="shared" ca="1" si="16"/>
        <v>30</v>
      </c>
      <c r="Q80" s="1">
        <f t="shared" ca="1" si="17"/>
        <v>34</v>
      </c>
      <c r="R80">
        <f t="shared" ca="1" si="18"/>
        <v>34</v>
      </c>
      <c r="S80" t="str">
        <f t="shared" ca="1" si="19"/>
        <v>Late</v>
      </c>
      <c r="T80" t="str">
        <f t="shared" ca="1" si="20"/>
        <v>31-60</v>
      </c>
      <c r="U80">
        <f t="shared" ca="1" si="21"/>
        <v>4</v>
      </c>
      <c r="V80" t="str">
        <f t="shared" ca="1" si="22"/>
        <v>Inefficient</v>
      </c>
      <c r="W80">
        <f t="shared" si="23"/>
        <v>50424</v>
      </c>
    </row>
    <row r="81" spans="1:23" x14ac:dyDescent="0.35">
      <c r="A81" t="s">
        <v>106</v>
      </c>
      <c r="B81" t="s">
        <v>20</v>
      </c>
      <c r="C81" s="1">
        <v>45248</v>
      </c>
      <c r="D81" s="1">
        <v>45255</v>
      </c>
      <c r="E81" t="s">
        <v>21</v>
      </c>
      <c r="F81" t="s">
        <v>18</v>
      </c>
      <c r="G81">
        <v>1501</v>
      </c>
      <c r="H81">
        <v>106.05</v>
      </c>
      <c r="I81">
        <v>100.99</v>
      </c>
      <c r="J81">
        <v>77</v>
      </c>
      <c r="K81">
        <f t="shared" si="12"/>
        <v>1424</v>
      </c>
      <c r="L81" t="s">
        <v>27</v>
      </c>
      <c r="M81" s="1">
        <f t="shared" si="13"/>
        <v>45255</v>
      </c>
      <c r="N81" t="str">
        <f t="shared" ca="1" si="14"/>
        <v>Net 30</v>
      </c>
      <c r="O81">
        <f t="shared" ca="1" si="15"/>
        <v>30</v>
      </c>
      <c r="P81" s="1">
        <f t="shared" ca="1" si="16"/>
        <v>45285</v>
      </c>
      <c r="Q81" s="1">
        <f t="shared" ca="1" si="17"/>
        <v>45281</v>
      </c>
      <c r="R81">
        <f t="shared" ca="1" si="18"/>
        <v>26</v>
      </c>
      <c r="S81" t="str">
        <f t="shared" ca="1" si="19"/>
        <v>On Time</v>
      </c>
      <c r="T81" t="str">
        <f t="shared" ca="1" si="20"/>
        <v>0-30</v>
      </c>
      <c r="U81">
        <f t="shared" ca="1" si="21"/>
        <v>0</v>
      </c>
      <c r="V81" t="str">
        <f t="shared" ca="1" si="22"/>
        <v>Efficient</v>
      </c>
      <c r="W81">
        <f t="shared" si="23"/>
        <v>151585.99</v>
      </c>
    </row>
    <row r="82" spans="1:23" x14ac:dyDescent="0.35">
      <c r="A82" t="s">
        <v>107</v>
      </c>
      <c r="B82" t="s">
        <v>17</v>
      </c>
      <c r="C82" s="1">
        <v>44835</v>
      </c>
      <c r="D82" s="1">
        <v>44838</v>
      </c>
      <c r="E82" t="s">
        <v>24</v>
      </c>
      <c r="F82" t="s">
        <v>18</v>
      </c>
      <c r="G82">
        <v>558</v>
      </c>
      <c r="H82">
        <v>94.18</v>
      </c>
      <c r="I82">
        <v>81.400000000000006</v>
      </c>
      <c r="K82">
        <f t="shared" si="12"/>
        <v>558</v>
      </c>
      <c r="L82" t="s">
        <v>27</v>
      </c>
      <c r="M82" s="1">
        <f t="shared" si="13"/>
        <v>44838</v>
      </c>
      <c r="N82" t="str">
        <f t="shared" ca="1" si="14"/>
        <v>Net 15</v>
      </c>
      <c r="O82">
        <f t="shared" ca="1" si="15"/>
        <v>15</v>
      </c>
      <c r="P82" s="1">
        <f t="shared" ca="1" si="16"/>
        <v>44853</v>
      </c>
      <c r="Q82" s="1">
        <f t="shared" ca="1" si="17"/>
        <v>44866</v>
      </c>
      <c r="R82">
        <f t="shared" ca="1" si="18"/>
        <v>28</v>
      </c>
      <c r="S82" t="str">
        <f t="shared" ca="1" si="19"/>
        <v>Late</v>
      </c>
      <c r="T82" t="str">
        <f t="shared" ca="1" si="20"/>
        <v>0-30</v>
      </c>
      <c r="U82">
        <f t="shared" ca="1" si="21"/>
        <v>13</v>
      </c>
      <c r="V82" t="str">
        <f t="shared" ca="1" si="22"/>
        <v>Inefficient</v>
      </c>
      <c r="W82">
        <f t="shared" si="23"/>
        <v>45421.200000000004</v>
      </c>
    </row>
    <row r="83" spans="1:23" x14ac:dyDescent="0.35">
      <c r="A83" t="s">
        <v>108</v>
      </c>
      <c r="B83" t="s">
        <v>23</v>
      </c>
      <c r="C83" s="1">
        <v>45280</v>
      </c>
      <c r="D83" s="1">
        <v>45286</v>
      </c>
      <c r="E83" t="s">
        <v>21</v>
      </c>
      <c r="F83" t="s">
        <v>18</v>
      </c>
      <c r="G83">
        <v>825</v>
      </c>
      <c r="H83">
        <v>56.88</v>
      </c>
      <c r="I83">
        <v>50.84</v>
      </c>
      <c r="K83">
        <f t="shared" si="12"/>
        <v>825</v>
      </c>
      <c r="L83" t="s">
        <v>15</v>
      </c>
      <c r="M83" s="1">
        <f t="shared" si="13"/>
        <v>45286</v>
      </c>
      <c r="N83" t="str">
        <f t="shared" ca="1" si="14"/>
        <v>Net 15</v>
      </c>
      <c r="O83">
        <f t="shared" ca="1" si="15"/>
        <v>15</v>
      </c>
      <c r="P83" s="1">
        <f t="shared" ca="1" si="16"/>
        <v>45301</v>
      </c>
      <c r="Q83" s="1">
        <f t="shared" ca="1" si="17"/>
        <v>45321</v>
      </c>
      <c r="R83">
        <f t="shared" ca="1" si="18"/>
        <v>35</v>
      </c>
      <c r="S83" t="str">
        <f t="shared" ca="1" si="19"/>
        <v>Late</v>
      </c>
      <c r="T83" t="str">
        <f t="shared" ca="1" si="20"/>
        <v>31-60</v>
      </c>
      <c r="U83">
        <f t="shared" ca="1" si="21"/>
        <v>20</v>
      </c>
      <c r="V83" t="str">
        <f t="shared" ca="1" si="22"/>
        <v>Inefficient</v>
      </c>
      <c r="W83">
        <f t="shared" si="23"/>
        <v>41943</v>
      </c>
    </row>
    <row r="84" spans="1:23" x14ac:dyDescent="0.35">
      <c r="A84" t="s">
        <v>109</v>
      </c>
      <c r="B84" t="s">
        <v>23</v>
      </c>
      <c r="C84" s="1">
        <v>45261</v>
      </c>
      <c r="D84" s="1">
        <v>45267</v>
      </c>
      <c r="E84" t="s">
        <v>39</v>
      </c>
      <c r="F84" t="s">
        <v>14</v>
      </c>
      <c r="G84">
        <v>84</v>
      </c>
      <c r="H84">
        <v>73.38</v>
      </c>
      <c r="I84">
        <v>71.42</v>
      </c>
      <c r="J84">
        <v>9</v>
      </c>
      <c r="K84">
        <f t="shared" si="12"/>
        <v>75</v>
      </c>
      <c r="L84" t="s">
        <v>15</v>
      </c>
      <c r="M84" s="1">
        <f t="shared" si="13"/>
        <v>45267</v>
      </c>
      <c r="N84" t="str">
        <f t="shared" ca="1" si="14"/>
        <v>Net 30</v>
      </c>
      <c r="O84">
        <f t="shared" ca="1" si="15"/>
        <v>30</v>
      </c>
      <c r="P84" s="1">
        <f t="shared" ca="1" si="16"/>
        <v>45297</v>
      </c>
      <c r="Q84" s="1">
        <f t="shared" ca="1" si="17"/>
        <v>45303</v>
      </c>
      <c r="R84">
        <f t="shared" ca="1" si="18"/>
        <v>36</v>
      </c>
      <c r="S84" t="str">
        <f t="shared" ca="1" si="19"/>
        <v>Late</v>
      </c>
      <c r="T84" t="str">
        <f t="shared" ca="1" si="20"/>
        <v>31-60</v>
      </c>
      <c r="U84">
        <f t="shared" ca="1" si="21"/>
        <v>6</v>
      </c>
      <c r="V84" t="str">
        <f t="shared" ca="1" si="22"/>
        <v>Inefficient</v>
      </c>
      <c r="W84">
        <f t="shared" si="23"/>
        <v>5999.28</v>
      </c>
    </row>
    <row r="85" spans="1:23" x14ac:dyDescent="0.35">
      <c r="A85" t="s">
        <v>110</v>
      </c>
      <c r="B85" t="s">
        <v>17</v>
      </c>
      <c r="C85" s="1">
        <v>45225</v>
      </c>
      <c r="D85" s="1">
        <v>45240</v>
      </c>
      <c r="E85" t="s">
        <v>26</v>
      </c>
      <c r="F85" t="s">
        <v>18</v>
      </c>
      <c r="G85">
        <v>255</v>
      </c>
      <c r="H85">
        <v>38.64</v>
      </c>
      <c r="I85">
        <v>33.590000000000003</v>
      </c>
      <c r="J85">
        <v>27</v>
      </c>
      <c r="K85">
        <f t="shared" si="12"/>
        <v>228</v>
      </c>
      <c r="L85" t="s">
        <v>27</v>
      </c>
      <c r="M85" s="1">
        <f t="shared" si="13"/>
        <v>45240</v>
      </c>
      <c r="N85" t="str">
        <f t="shared" ca="1" si="14"/>
        <v>Net 15</v>
      </c>
      <c r="O85">
        <f t="shared" ca="1" si="15"/>
        <v>15</v>
      </c>
      <c r="P85" s="1">
        <f t="shared" ca="1" si="16"/>
        <v>45255</v>
      </c>
      <c r="Q85" s="1">
        <f t="shared" ca="1" si="17"/>
        <v>45269</v>
      </c>
      <c r="R85">
        <f t="shared" ca="1" si="18"/>
        <v>29</v>
      </c>
      <c r="S85" t="str">
        <f t="shared" ca="1" si="19"/>
        <v>Late</v>
      </c>
      <c r="T85" t="str">
        <f t="shared" ca="1" si="20"/>
        <v>0-30</v>
      </c>
      <c r="U85">
        <f t="shared" ca="1" si="21"/>
        <v>14</v>
      </c>
      <c r="V85" t="str">
        <f t="shared" ca="1" si="22"/>
        <v>Inefficient</v>
      </c>
      <c r="W85">
        <f t="shared" si="23"/>
        <v>8565.4500000000007</v>
      </c>
    </row>
    <row r="86" spans="1:23" x14ac:dyDescent="0.35">
      <c r="A86" t="s">
        <v>111</v>
      </c>
      <c r="B86" t="s">
        <v>20</v>
      </c>
      <c r="C86" s="1">
        <v>44635</v>
      </c>
      <c r="D86" s="1">
        <v>44651</v>
      </c>
      <c r="E86" t="s">
        <v>21</v>
      </c>
      <c r="F86" t="s">
        <v>18</v>
      </c>
      <c r="G86">
        <v>1154</v>
      </c>
      <c r="H86">
        <v>27.2</v>
      </c>
      <c r="I86">
        <v>26.07</v>
      </c>
      <c r="J86">
        <v>58</v>
      </c>
      <c r="K86">
        <f t="shared" si="12"/>
        <v>1096</v>
      </c>
      <c r="L86" t="s">
        <v>15</v>
      </c>
      <c r="M86" s="1">
        <f t="shared" si="13"/>
        <v>44651</v>
      </c>
      <c r="N86" t="str">
        <f t="shared" ca="1" si="14"/>
        <v>Net 15</v>
      </c>
      <c r="O86">
        <f t="shared" ca="1" si="15"/>
        <v>15</v>
      </c>
      <c r="P86" s="1">
        <f t="shared" ca="1" si="16"/>
        <v>44666</v>
      </c>
      <c r="Q86" s="1">
        <f t="shared" ca="1" si="17"/>
        <v>44665</v>
      </c>
      <c r="R86">
        <f t="shared" ca="1" si="18"/>
        <v>14</v>
      </c>
      <c r="S86" t="str">
        <f t="shared" ca="1" si="19"/>
        <v>On Time</v>
      </c>
      <c r="T86" t="str">
        <f t="shared" ca="1" si="20"/>
        <v>0-30</v>
      </c>
      <c r="U86">
        <f t="shared" ca="1" si="21"/>
        <v>0</v>
      </c>
      <c r="V86" t="str">
        <f t="shared" ca="1" si="22"/>
        <v>Efficient</v>
      </c>
      <c r="W86">
        <f t="shared" si="23"/>
        <v>30084.78</v>
      </c>
    </row>
    <row r="87" spans="1:23" x14ac:dyDescent="0.35">
      <c r="A87" t="s">
        <v>112</v>
      </c>
      <c r="B87" t="s">
        <v>17</v>
      </c>
      <c r="C87" s="1">
        <v>45185</v>
      </c>
      <c r="D87" s="1">
        <v>45193</v>
      </c>
      <c r="E87" t="s">
        <v>13</v>
      </c>
      <c r="F87" t="s">
        <v>18</v>
      </c>
      <c r="G87">
        <v>1635</v>
      </c>
      <c r="H87">
        <v>56.91</v>
      </c>
      <c r="I87">
        <v>54.37</v>
      </c>
      <c r="J87">
        <v>262</v>
      </c>
      <c r="K87">
        <f t="shared" si="12"/>
        <v>1373</v>
      </c>
      <c r="L87" t="s">
        <v>27</v>
      </c>
      <c r="M87" s="1">
        <f t="shared" si="13"/>
        <v>45193</v>
      </c>
      <c r="N87" t="str">
        <f t="shared" ca="1" si="14"/>
        <v>Net 30</v>
      </c>
      <c r="O87">
        <f t="shared" ca="1" si="15"/>
        <v>30</v>
      </c>
      <c r="P87" s="1">
        <f t="shared" ca="1" si="16"/>
        <v>45223</v>
      </c>
      <c r="Q87" s="1">
        <f t="shared" ca="1" si="17"/>
        <v>45222</v>
      </c>
      <c r="R87">
        <f t="shared" ca="1" si="18"/>
        <v>29</v>
      </c>
      <c r="S87" t="str">
        <f t="shared" ca="1" si="19"/>
        <v>On Time</v>
      </c>
      <c r="T87" t="str">
        <f t="shared" ca="1" si="20"/>
        <v>0-30</v>
      </c>
      <c r="U87">
        <f t="shared" ca="1" si="21"/>
        <v>0</v>
      </c>
      <c r="V87" t="str">
        <f t="shared" ca="1" si="22"/>
        <v>Efficient</v>
      </c>
      <c r="W87">
        <f t="shared" si="23"/>
        <v>88894.95</v>
      </c>
    </row>
    <row r="88" spans="1:23" x14ac:dyDescent="0.35">
      <c r="A88" t="s">
        <v>113</v>
      </c>
      <c r="B88" t="s">
        <v>17</v>
      </c>
      <c r="C88" s="1">
        <v>45212</v>
      </c>
      <c r="D88" s="1">
        <v>45222</v>
      </c>
      <c r="E88" t="s">
        <v>26</v>
      </c>
      <c r="F88" t="s">
        <v>18</v>
      </c>
      <c r="G88">
        <v>1945</v>
      </c>
      <c r="H88">
        <v>46.19</v>
      </c>
      <c r="I88">
        <v>40.119999999999997</v>
      </c>
      <c r="J88">
        <v>278</v>
      </c>
      <c r="K88">
        <f t="shared" si="12"/>
        <v>1667</v>
      </c>
      <c r="L88" t="s">
        <v>27</v>
      </c>
      <c r="M88" s="1">
        <f t="shared" si="13"/>
        <v>45222</v>
      </c>
      <c r="N88" t="str">
        <f t="shared" ca="1" si="14"/>
        <v>Net 45</v>
      </c>
      <c r="O88">
        <f t="shared" ca="1" si="15"/>
        <v>45</v>
      </c>
      <c r="P88" s="1">
        <f t="shared" ca="1" si="16"/>
        <v>45267</v>
      </c>
      <c r="Q88" s="1">
        <f t="shared" ca="1" si="17"/>
        <v>45274</v>
      </c>
      <c r="R88">
        <f t="shared" ca="1" si="18"/>
        <v>52</v>
      </c>
      <c r="S88" t="str">
        <f t="shared" ca="1" si="19"/>
        <v>Late</v>
      </c>
      <c r="T88" t="str">
        <f t="shared" ca="1" si="20"/>
        <v>31-60</v>
      </c>
      <c r="U88">
        <f t="shared" ca="1" si="21"/>
        <v>7</v>
      </c>
      <c r="V88" t="str">
        <f t="shared" ca="1" si="22"/>
        <v>Inefficient</v>
      </c>
      <c r="W88">
        <f t="shared" si="23"/>
        <v>78033.399999999994</v>
      </c>
    </row>
    <row r="89" spans="1:23" x14ac:dyDescent="0.35">
      <c r="A89" t="s">
        <v>114</v>
      </c>
      <c r="B89" t="s">
        <v>17</v>
      </c>
      <c r="C89" s="1">
        <v>44737</v>
      </c>
      <c r="D89" s="1">
        <v>44752</v>
      </c>
      <c r="E89" t="s">
        <v>21</v>
      </c>
      <c r="F89" t="s">
        <v>33</v>
      </c>
      <c r="G89">
        <v>1461</v>
      </c>
      <c r="H89">
        <v>64.09</v>
      </c>
      <c r="I89">
        <v>63.39</v>
      </c>
      <c r="J89">
        <v>228</v>
      </c>
      <c r="K89">
        <f t="shared" si="12"/>
        <v>1233</v>
      </c>
      <c r="L89" t="s">
        <v>27</v>
      </c>
      <c r="M89" s="1">
        <f t="shared" si="13"/>
        <v>44752</v>
      </c>
      <c r="N89" t="str">
        <f t="shared" ca="1" si="14"/>
        <v>Net 30</v>
      </c>
      <c r="O89">
        <f t="shared" ca="1" si="15"/>
        <v>30</v>
      </c>
      <c r="P89" s="1">
        <f t="shared" ca="1" si="16"/>
        <v>44782</v>
      </c>
      <c r="Q89" s="1">
        <f t="shared" ca="1" si="17"/>
        <v>44781</v>
      </c>
      <c r="R89">
        <f t="shared" ca="1" si="18"/>
        <v>29</v>
      </c>
      <c r="S89" t="str">
        <f t="shared" ca="1" si="19"/>
        <v>On Time</v>
      </c>
      <c r="T89" t="str">
        <f t="shared" ca="1" si="20"/>
        <v>0-30</v>
      </c>
      <c r="U89">
        <f t="shared" ca="1" si="21"/>
        <v>0</v>
      </c>
      <c r="V89" t="str">
        <f t="shared" ca="1" si="22"/>
        <v>Efficient</v>
      </c>
      <c r="W89">
        <f t="shared" si="23"/>
        <v>92612.79</v>
      </c>
    </row>
    <row r="90" spans="1:23" x14ac:dyDescent="0.35">
      <c r="A90" t="s">
        <v>115</v>
      </c>
      <c r="B90" t="s">
        <v>17</v>
      </c>
      <c r="C90" s="1">
        <v>45108</v>
      </c>
      <c r="D90" s="1">
        <v>45116</v>
      </c>
      <c r="E90" t="s">
        <v>39</v>
      </c>
      <c r="F90" t="s">
        <v>18</v>
      </c>
      <c r="G90">
        <v>1075</v>
      </c>
      <c r="H90">
        <v>18.53</v>
      </c>
      <c r="I90">
        <v>16.12</v>
      </c>
      <c r="J90">
        <v>147</v>
      </c>
      <c r="K90">
        <f t="shared" si="12"/>
        <v>928</v>
      </c>
      <c r="L90" t="s">
        <v>15</v>
      </c>
      <c r="M90" s="1">
        <f t="shared" si="13"/>
        <v>45116</v>
      </c>
      <c r="N90" t="str">
        <f t="shared" ca="1" si="14"/>
        <v>Net 30</v>
      </c>
      <c r="O90">
        <f t="shared" ca="1" si="15"/>
        <v>30</v>
      </c>
      <c r="P90" s="1">
        <f t="shared" ca="1" si="16"/>
        <v>45146</v>
      </c>
      <c r="Q90" s="1">
        <f t="shared" ca="1" si="17"/>
        <v>45155</v>
      </c>
      <c r="R90">
        <f t="shared" ca="1" si="18"/>
        <v>39</v>
      </c>
      <c r="S90" t="str">
        <f t="shared" ca="1" si="19"/>
        <v>Late</v>
      </c>
      <c r="T90" t="str">
        <f t="shared" ca="1" si="20"/>
        <v>31-60</v>
      </c>
      <c r="U90">
        <f t="shared" ca="1" si="21"/>
        <v>9</v>
      </c>
      <c r="V90" t="str">
        <f t="shared" ca="1" si="22"/>
        <v>Inefficient</v>
      </c>
      <c r="W90">
        <f t="shared" si="23"/>
        <v>17329</v>
      </c>
    </row>
    <row r="91" spans="1:23" x14ac:dyDescent="0.35">
      <c r="A91" t="s">
        <v>116</v>
      </c>
      <c r="B91" t="s">
        <v>12</v>
      </c>
      <c r="C91" s="1">
        <v>44812</v>
      </c>
      <c r="E91" t="s">
        <v>24</v>
      </c>
      <c r="F91" t="s">
        <v>18</v>
      </c>
      <c r="G91">
        <v>1071</v>
      </c>
      <c r="H91">
        <v>101.6</v>
      </c>
      <c r="I91">
        <v>93.91</v>
      </c>
      <c r="J91">
        <v>25</v>
      </c>
      <c r="K91">
        <f t="shared" si="12"/>
        <v>1046</v>
      </c>
      <c r="L91" t="s">
        <v>15</v>
      </c>
      <c r="M91" s="1">
        <f t="shared" si="13"/>
        <v>0</v>
      </c>
      <c r="N91" t="str">
        <f t="shared" ca="1" si="14"/>
        <v>Net 45</v>
      </c>
      <c r="O91">
        <f t="shared" ca="1" si="15"/>
        <v>45</v>
      </c>
      <c r="P91" s="1">
        <f t="shared" ca="1" si="16"/>
        <v>45</v>
      </c>
      <c r="Q91" s="1">
        <f t="shared" ca="1" si="17"/>
        <v>59</v>
      </c>
      <c r="R91">
        <f t="shared" ca="1" si="18"/>
        <v>59</v>
      </c>
      <c r="S91" t="str">
        <f t="shared" ca="1" si="19"/>
        <v>Late</v>
      </c>
      <c r="T91" t="str">
        <f t="shared" ca="1" si="20"/>
        <v>31-60</v>
      </c>
      <c r="U91">
        <f t="shared" ca="1" si="21"/>
        <v>14</v>
      </c>
      <c r="V91" t="str">
        <f t="shared" ca="1" si="22"/>
        <v>Inefficient</v>
      </c>
      <c r="W91">
        <f t="shared" si="23"/>
        <v>100577.61</v>
      </c>
    </row>
    <row r="92" spans="1:23" x14ac:dyDescent="0.35">
      <c r="A92" t="s">
        <v>117</v>
      </c>
      <c r="B92" t="s">
        <v>29</v>
      </c>
      <c r="C92" s="1">
        <v>44729</v>
      </c>
      <c r="D92" s="1">
        <v>44748</v>
      </c>
      <c r="E92" t="s">
        <v>24</v>
      </c>
      <c r="F92" t="s">
        <v>35</v>
      </c>
      <c r="G92">
        <v>1463</v>
      </c>
      <c r="H92">
        <v>101.23</v>
      </c>
      <c r="I92">
        <v>86.17</v>
      </c>
      <c r="J92">
        <v>43</v>
      </c>
      <c r="K92">
        <f t="shared" si="12"/>
        <v>1420</v>
      </c>
      <c r="L92" t="s">
        <v>15</v>
      </c>
      <c r="M92" s="1">
        <f t="shared" si="13"/>
        <v>44748</v>
      </c>
      <c r="N92" t="str">
        <f t="shared" ca="1" si="14"/>
        <v>Net 45</v>
      </c>
      <c r="O92">
        <f t="shared" ca="1" si="15"/>
        <v>45</v>
      </c>
      <c r="P92" s="1">
        <f t="shared" ca="1" si="16"/>
        <v>44793</v>
      </c>
      <c r="Q92" s="1">
        <f t="shared" ca="1" si="17"/>
        <v>44793</v>
      </c>
      <c r="R92">
        <f t="shared" ca="1" si="18"/>
        <v>45</v>
      </c>
      <c r="S92" t="str">
        <f t="shared" ca="1" si="19"/>
        <v>On Time</v>
      </c>
      <c r="T92" t="str">
        <f t="shared" ca="1" si="20"/>
        <v>31-60</v>
      </c>
      <c r="U92">
        <f t="shared" ca="1" si="21"/>
        <v>0</v>
      </c>
      <c r="V92" t="str">
        <f t="shared" ca="1" si="22"/>
        <v>Efficient</v>
      </c>
      <c r="W92">
        <f t="shared" si="23"/>
        <v>126066.71</v>
      </c>
    </row>
    <row r="93" spans="1:23" x14ac:dyDescent="0.35">
      <c r="A93" t="s">
        <v>118</v>
      </c>
      <c r="B93" t="s">
        <v>23</v>
      </c>
      <c r="C93" s="1">
        <v>45035</v>
      </c>
      <c r="D93" s="1">
        <v>45042</v>
      </c>
      <c r="E93" t="s">
        <v>26</v>
      </c>
      <c r="F93" t="s">
        <v>18</v>
      </c>
      <c r="G93">
        <v>615</v>
      </c>
      <c r="H93">
        <v>78.3</v>
      </c>
      <c r="I93">
        <v>73.680000000000007</v>
      </c>
      <c r="J93">
        <v>69</v>
      </c>
      <c r="K93">
        <f t="shared" si="12"/>
        <v>546</v>
      </c>
      <c r="L93" t="s">
        <v>15</v>
      </c>
      <c r="M93" s="1">
        <f t="shared" si="13"/>
        <v>45042</v>
      </c>
      <c r="N93" t="str">
        <f t="shared" ca="1" si="14"/>
        <v>Net 45</v>
      </c>
      <c r="O93">
        <f t="shared" ca="1" si="15"/>
        <v>45</v>
      </c>
      <c r="P93" s="1">
        <f t="shared" ca="1" si="16"/>
        <v>45087</v>
      </c>
      <c r="Q93" s="1">
        <f t="shared" ca="1" si="17"/>
        <v>45095</v>
      </c>
      <c r="R93">
        <f t="shared" ca="1" si="18"/>
        <v>53</v>
      </c>
      <c r="S93" t="str">
        <f t="shared" ca="1" si="19"/>
        <v>Late</v>
      </c>
      <c r="T93" t="str">
        <f t="shared" ca="1" si="20"/>
        <v>31-60</v>
      </c>
      <c r="U93">
        <f t="shared" ca="1" si="21"/>
        <v>8</v>
      </c>
      <c r="V93" t="str">
        <f t="shared" ca="1" si="22"/>
        <v>Inefficient</v>
      </c>
      <c r="W93">
        <f t="shared" si="23"/>
        <v>45313.200000000004</v>
      </c>
    </row>
    <row r="94" spans="1:23" x14ac:dyDescent="0.35">
      <c r="A94" t="s">
        <v>119</v>
      </c>
      <c r="B94" t="s">
        <v>20</v>
      </c>
      <c r="C94" s="1">
        <v>44950</v>
      </c>
      <c r="D94" s="1">
        <v>44968</v>
      </c>
      <c r="E94" t="s">
        <v>39</v>
      </c>
      <c r="F94" t="s">
        <v>18</v>
      </c>
      <c r="G94">
        <v>1179</v>
      </c>
      <c r="H94">
        <v>61.74</v>
      </c>
      <c r="I94">
        <v>56.28</v>
      </c>
      <c r="K94">
        <f t="shared" si="12"/>
        <v>1179</v>
      </c>
      <c r="L94" t="s">
        <v>15</v>
      </c>
      <c r="M94" s="1">
        <f t="shared" si="13"/>
        <v>44968</v>
      </c>
      <c r="N94" t="str">
        <f t="shared" ca="1" si="14"/>
        <v>Net 15</v>
      </c>
      <c r="O94">
        <f t="shared" ca="1" si="15"/>
        <v>15</v>
      </c>
      <c r="P94" s="1">
        <f t="shared" ca="1" si="16"/>
        <v>44983</v>
      </c>
      <c r="Q94" s="1">
        <f t="shared" ca="1" si="17"/>
        <v>44986</v>
      </c>
      <c r="R94">
        <f t="shared" ca="1" si="18"/>
        <v>18</v>
      </c>
      <c r="S94" t="str">
        <f t="shared" ca="1" si="19"/>
        <v>Late</v>
      </c>
      <c r="T94" t="str">
        <f t="shared" ca="1" si="20"/>
        <v>0-30</v>
      </c>
      <c r="U94">
        <f t="shared" ca="1" si="21"/>
        <v>3</v>
      </c>
      <c r="V94" t="str">
        <f t="shared" ca="1" si="22"/>
        <v>Inefficient</v>
      </c>
      <c r="W94">
        <f t="shared" si="23"/>
        <v>66354.12</v>
      </c>
    </row>
    <row r="95" spans="1:23" x14ac:dyDescent="0.35">
      <c r="A95" t="s">
        <v>120</v>
      </c>
      <c r="B95" t="s">
        <v>12</v>
      </c>
      <c r="C95" s="1">
        <v>44838</v>
      </c>
      <c r="D95" s="1">
        <v>44843</v>
      </c>
      <c r="E95" t="s">
        <v>39</v>
      </c>
      <c r="F95" t="s">
        <v>33</v>
      </c>
      <c r="G95">
        <v>1845</v>
      </c>
      <c r="H95">
        <v>39.56</v>
      </c>
      <c r="I95">
        <v>37.630000000000003</v>
      </c>
      <c r="J95">
        <v>45</v>
      </c>
      <c r="K95">
        <f t="shared" si="12"/>
        <v>1800</v>
      </c>
      <c r="L95" t="s">
        <v>15</v>
      </c>
      <c r="M95" s="1">
        <f t="shared" si="13"/>
        <v>44843</v>
      </c>
      <c r="N95" t="str">
        <f t="shared" ca="1" si="14"/>
        <v>Net 45</v>
      </c>
      <c r="O95">
        <f t="shared" ca="1" si="15"/>
        <v>45</v>
      </c>
      <c r="P95" s="1">
        <f t="shared" ca="1" si="16"/>
        <v>44888</v>
      </c>
      <c r="Q95" s="1">
        <f t="shared" ca="1" si="17"/>
        <v>44908</v>
      </c>
      <c r="R95">
        <f t="shared" ca="1" si="18"/>
        <v>65</v>
      </c>
      <c r="S95" t="str">
        <f t="shared" ca="1" si="19"/>
        <v>Late</v>
      </c>
      <c r="T95" t="str">
        <f t="shared" ca="1" si="20"/>
        <v>61-90</v>
      </c>
      <c r="U95">
        <f t="shared" ca="1" si="21"/>
        <v>20</v>
      </c>
      <c r="V95" t="str">
        <f t="shared" ca="1" si="22"/>
        <v>Inefficient</v>
      </c>
      <c r="W95">
        <f t="shared" si="23"/>
        <v>69427.350000000006</v>
      </c>
    </row>
    <row r="96" spans="1:23" x14ac:dyDescent="0.35">
      <c r="A96" t="s">
        <v>121</v>
      </c>
      <c r="B96" t="s">
        <v>23</v>
      </c>
      <c r="C96" s="1">
        <v>45217</v>
      </c>
      <c r="E96" t="s">
        <v>39</v>
      </c>
      <c r="F96" t="s">
        <v>14</v>
      </c>
      <c r="G96">
        <v>1895</v>
      </c>
      <c r="H96">
        <v>91.98</v>
      </c>
      <c r="I96">
        <v>86.27</v>
      </c>
      <c r="J96">
        <v>170</v>
      </c>
      <c r="K96">
        <f t="shared" si="12"/>
        <v>1725</v>
      </c>
      <c r="L96" t="s">
        <v>15</v>
      </c>
      <c r="M96" s="1">
        <f t="shared" si="13"/>
        <v>0</v>
      </c>
      <c r="N96" t="str">
        <f t="shared" ca="1" si="14"/>
        <v>Net 15</v>
      </c>
      <c r="O96">
        <f t="shared" ca="1" si="15"/>
        <v>15</v>
      </c>
      <c r="P96" s="1">
        <f t="shared" ca="1" si="16"/>
        <v>15</v>
      </c>
      <c r="Q96" s="1">
        <f t="shared" ca="1" si="17"/>
        <v>29</v>
      </c>
      <c r="R96">
        <f t="shared" ca="1" si="18"/>
        <v>29</v>
      </c>
      <c r="S96" t="str">
        <f t="shared" ca="1" si="19"/>
        <v>Late</v>
      </c>
      <c r="T96" t="str">
        <f t="shared" ca="1" si="20"/>
        <v>0-30</v>
      </c>
      <c r="U96">
        <f t="shared" ca="1" si="21"/>
        <v>14</v>
      </c>
      <c r="V96" t="str">
        <f t="shared" ca="1" si="22"/>
        <v>Inefficient</v>
      </c>
      <c r="W96">
        <f t="shared" si="23"/>
        <v>163481.65</v>
      </c>
    </row>
    <row r="97" spans="1:23" x14ac:dyDescent="0.35">
      <c r="A97" t="s">
        <v>122</v>
      </c>
      <c r="B97" t="s">
        <v>29</v>
      </c>
      <c r="C97" s="1">
        <v>45266</v>
      </c>
      <c r="D97" s="1">
        <v>45269</v>
      </c>
      <c r="E97" t="s">
        <v>21</v>
      </c>
      <c r="F97" t="s">
        <v>33</v>
      </c>
      <c r="G97">
        <v>1550</v>
      </c>
      <c r="H97">
        <v>79.86</v>
      </c>
      <c r="I97">
        <v>69.569999999999993</v>
      </c>
      <c r="J97">
        <v>32</v>
      </c>
      <c r="K97">
        <f t="shared" si="12"/>
        <v>1518</v>
      </c>
      <c r="L97" t="s">
        <v>27</v>
      </c>
      <c r="M97" s="1">
        <f t="shared" si="13"/>
        <v>45269</v>
      </c>
      <c r="N97" t="str">
        <f t="shared" ca="1" si="14"/>
        <v>Net 45</v>
      </c>
      <c r="O97">
        <f t="shared" ca="1" si="15"/>
        <v>45</v>
      </c>
      <c r="P97" s="1">
        <f t="shared" ca="1" si="16"/>
        <v>45314</v>
      </c>
      <c r="Q97" s="1">
        <f t="shared" ca="1" si="17"/>
        <v>45322</v>
      </c>
      <c r="R97">
        <f t="shared" ca="1" si="18"/>
        <v>53</v>
      </c>
      <c r="S97" t="str">
        <f t="shared" ca="1" si="19"/>
        <v>Late</v>
      </c>
      <c r="T97" t="str">
        <f t="shared" ca="1" si="20"/>
        <v>31-60</v>
      </c>
      <c r="U97">
        <f t="shared" ca="1" si="21"/>
        <v>8</v>
      </c>
      <c r="V97" t="str">
        <f t="shared" ca="1" si="22"/>
        <v>Inefficient</v>
      </c>
      <c r="W97">
        <f t="shared" si="23"/>
        <v>107833.49999999999</v>
      </c>
    </row>
    <row r="98" spans="1:23" x14ac:dyDescent="0.35">
      <c r="A98" t="s">
        <v>123</v>
      </c>
      <c r="B98" t="s">
        <v>17</v>
      </c>
      <c r="C98" s="1">
        <v>45132</v>
      </c>
      <c r="D98" s="1">
        <v>45142</v>
      </c>
      <c r="E98" t="s">
        <v>24</v>
      </c>
      <c r="F98" t="s">
        <v>18</v>
      </c>
      <c r="G98">
        <v>752</v>
      </c>
      <c r="H98">
        <v>26.85</v>
      </c>
      <c r="I98">
        <v>24.37</v>
      </c>
      <c r="K98">
        <f t="shared" si="12"/>
        <v>752</v>
      </c>
      <c r="L98" t="s">
        <v>27</v>
      </c>
      <c r="M98" s="1">
        <f t="shared" si="13"/>
        <v>45142</v>
      </c>
      <c r="N98" t="str">
        <f t="shared" ca="1" si="14"/>
        <v>Net 45</v>
      </c>
      <c r="O98">
        <f t="shared" ca="1" si="15"/>
        <v>45</v>
      </c>
      <c r="P98" s="1">
        <f t="shared" ca="1" si="16"/>
        <v>45187</v>
      </c>
      <c r="Q98" s="1">
        <f t="shared" ca="1" si="17"/>
        <v>45198</v>
      </c>
      <c r="R98">
        <f t="shared" ca="1" si="18"/>
        <v>56</v>
      </c>
      <c r="S98" t="str">
        <f t="shared" ca="1" si="19"/>
        <v>Late</v>
      </c>
      <c r="T98" t="str">
        <f t="shared" ca="1" si="20"/>
        <v>31-60</v>
      </c>
      <c r="U98">
        <f t="shared" ca="1" si="21"/>
        <v>11</v>
      </c>
      <c r="V98" t="str">
        <f t="shared" ca="1" si="22"/>
        <v>Inefficient</v>
      </c>
      <c r="W98">
        <f t="shared" si="23"/>
        <v>18326.240000000002</v>
      </c>
    </row>
    <row r="99" spans="1:23" x14ac:dyDescent="0.35">
      <c r="A99" t="s">
        <v>124</v>
      </c>
      <c r="B99" t="s">
        <v>29</v>
      </c>
      <c r="C99" s="1">
        <v>44786</v>
      </c>
      <c r="D99" s="1">
        <v>44805</v>
      </c>
      <c r="E99" t="s">
        <v>39</v>
      </c>
      <c r="F99" t="s">
        <v>18</v>
      </c>
      <c r="G99">
        <v>451</v>
      </c>
      <c r="H99">
        <v>95.2</v>
      </c>
      <c r="I99">
        <v>90.07</v>
      </c>
      <c r="J99">
        <v>21</v>
      </c>
      <c r="K99">
        <f t="shared" si="12"/>
        <v>430</v>
      </c>
      <c r="L99" t="s">
        <v>15</v>
      </c>
      <c r="M99" s="1">
        <f t="shared" si="13"/>
        <v>44805</v>
      </c>
      <c r="N99" t="str">
        <f t="shared" ca="1" si="14"/>
        <v>Net 45</v>
      </c>
      <c r="O99">
        <f t="shared" ca="1" si="15"/>
        <v>45</v>
      </c>
      <c r="P99" s="1">
        <f t="shared" ca="1" si="16"/>
        <v>44850</v>
      </c>
      <c r="Q99" s="1">
        <f t="shared" ca="1" si="17"/>
        <v>44864</v>
      </c>
      <c r="R99">
        <f t="shared" ca="1" si="18"/>
        <v>59</v>
      </c>
      <c r="S99" t="str">
        <f t="shared" ca="1" si="19"/>
        <v>Late</v>
      </c>
      <c r="T99" t="str">
        <f t="shared" ca="1" si="20"/>
        <v>31-60</v>
      </c>
      <c r="U99">
        <f t="shared" ca="1" si="21"/>
        <v>14</v>
      </c>
      <c r="V99" t="str">
        <f t="shared" ca="1" si="22"/>
        <v>Inefficient</v>
      </c>
      <c r="W99">
        <f t="shared" si="23"/>
        <v>40621.57</v>
      </c>
    </row>
    <row r="100" spans="1:23" x14ac:dyDescent="0.35">
      <c r="A100" t="s">
        <v>125</v>
      </c>
      <c r="B100" t="s">
        <v>23</v>
      </c>
      <c r="C100" s="1">
        <v>45263</v>
      </c>
      <c r="E100" t="s">
        <v>13</v>
      </c>
      <c r="F100" t="s">
        <v>18</v>
      </c>
      <c r="G100">
        <v>779</v>
      </c>
      <c r="H100">
        <v>93.69</v>
      </c>
      <c r="I100">
        <v>90.92</v>
      </c>
      <c r="J100">
        <v>66</v>
      </c>
      <c r="K100">
        <f t="shared" si="12"/>
        <v>713</v>
      </c>
      <c r="L100" t="s">
        <v>15</v>
      </c>
      <c r="M100" s="1">
        <f t="shared" si="13"/>
        <v>0</v>
      </c>
      <c r="N100" t="str">
        <f t="shared" ca="1" si="14"/>
        <v>Net 15</v>
      </c>
      <c r="O100">
        <f t="shared" ca="1" si="15"/>
        <v>15</v>
      </c>
      <c r="P100" s="1">
        <f t="shared" ca="1" si="16"/>
        <v>15</v>
      </c>
      <c r="Q100" s="1">
        <f t="shared" ca="1" si="17"/>
        <v>35</v>
      </c>
      <c r="R100">
        <f t="shared" ca="1" si="18"/>
        <v>35</v>
      </c>
      <c r="S100" t="str">
        <f t="shared" ca="1" si="19"/>
        <v>Late</v>
      </c>
      <c r="T100" t="str">
        <f t="shared" ca="1" si="20"/>
        <v>31-60</v>
      </c>
      <c r="U100">
        <f t="shared" ca="1" si="21"/>
        <v>20</v>
      </c>
      <c r="V100" t="str">
        <f t="shared" ca="1" si="22"/>
        <v>Inefficient</v>
      </c>
      <c r="W100">
        <f t="shared" si="23"/>
        <v>70826.680000000008</v>
      </c>
    </row>
    <row r="101" spans="1:23" x14ac:dyDescent="0.35">
      <c r="A101" t="s">
        <v>126</v>
      </c>
      <c r="B101" t="s">
        <v>23</v>
      </c>
      <c r="C101" s="1">
        <v>44894</v>
      </c>
      <c r="D101" s="1">
        <v>44909</v>
      </c>
      <c r="E101" t="s">
        <v>21</v>
      </c>
      <c r="F101" t="s">
        <v>35</v>
      </c>
      <c r="G101">
        <v>1629</v>
      </c>
      <c r="H101">
        <v>100.26</v>
      </c>
      <c r="I101">
        <v>86.44</v>
      </c>
      <c r="J101">
        <v>187</v>
      </c>
      <c r="K101">
        <f t="shared" si="12"/>
        <v>1442</v>
      </c>
      <c r="L101" t="s">
        <v>27</v>
      </c>
      <c r="M101" s="1">
        <f t="shared" si="13"/>
        <v>44909</v>
      </c>
      <c r="N101" t="str">
        <f t="shared" ca="1" si="14"/>
        <v>Net 15</v>
      </c>
      <c r="O101">
        <f t="shared" ca="1" si="15"/>
        <v>15</v>
      </c>
      <c r="P101" s="1">
        <f t="shared" ca="1" si="16"/>
        <v>44924</v>
      </c>
      <c r="Q101" s="1">
        <f t="shared" ca="1" si="17"/>
        <v>44920</v>
      </c>
      <c r="R101">
        <f t="shared" ca="1" si="18"/>
        <v>11</v>
      </c>
      <c r="S101" t="str">
        <f t="shared" ca="1" si="19"/>
        <v>On Time</v>
      </c>
      <c r="T101" t="str">
        <f t="shared" ca="1" si="20"/>
        <v>0-30</v>
      </c>
      <c r="U101">
        <f t="shared" ca="1" si="21"/>
        <v>0</v>
      </c>
      <c r="V101" t="str">
        <f t="shared" ca="1" si="22"/>
        <v>Efficient</v>
      </c>
      <c r="W101">
        <f t="shared" si="23"/>
        <v>140810.76</v>
      </c>
    </row>
    <row r="102" spans="1:23" x14ac:dyDescent="0.35">
      <c r="A102" t="s">
        <v>127</v>
      </c>
      <c r="B102" t="s">
        <v>12</v>
      </c>
      <c r="C102" s="1">
        <v>44619</v>
      </c>
      <c r="D102" s="1">
        <v>44614</v>
      </c>
      <c r="E102" t="s">
        <v>13</v>
      </c>
      <c r="F102" t="s">
        <v>18</v>
      </c>
      <c r="G102">
        <v>211</v>
      </c>
      <c r="H102">
        <v>75.69</v>
      </c>
      <c r="I102">
        <v>65.400000000000006</v>
      </c>
      <c r="J102">
        <v>2</v>
      </c>
      <c r="K102">
        <f t="shared" si="12"/>
        <v>209</v>
      </c>
      <c r="L102" t="s">
        <v>15</v>
      </c>
      <c r="M102" s="1">
        <f t="shared" si="13"/>
        <v>44614</v>
      </c>
      <c r="N102" t="str">
        <f t="shared" ca="1" si="14"/>
        <v>Net 45</v>
      </c>
      <c r="O102">
        <f t="shared" ca="1" si="15"/>
        <v>45</v>
      </c>
      <c r="P102" s="1">
        <f t="shared" ca="1" si="16"/>
        <v>44659</v>
      </c>
      <c r="Q102" s="1">
        <f t="shared" ca="1" si="17"/>
        <v>44668</v>
      </c>
      <c r="R102">
        <f t="shared" ca="1" si="18"/>
        <v>54</v>
      </c>
      <c r="S102" t="str">
        <f t="shared" ca="1" si="19"/>
        <v>Late</v>
      </c>
      <c r="T102" t="str">
        <f t="shared" ca="1" si="20"/>
        <v>31-60</v>
      </c>
      <c r="U102">
        <f t="shared" ca="1" si="21"/>
        <v>9</v>
      </c>
      <c r="V102" t="str">
        <f t="shared" ca="1" si="22"/>
        <v>Inefficient</v>
      </c>
      <c r="W102">
        <f t="shared" si="23"/>
        <v>13799.400000000001</v>
      </c>
    </row>
    <row r="103" spans="1:23" x14ac:dyDescent="0.35">
      <c r="A103" t="s">
        <v>128</v>
      </c>
      <c r="B103" t="s">
        <v>12</v>
      </c>
      <c r="C103" s="1">
        <v>44796</v>
      </c>
      <c r="E103" t="s">
        <v>13</v>
      </c>
      <c r="F103" t="s">
        <v>18</v>
      </c>
      <c r="G103">
        <v>251</v>
      </c>
      <c r="H103">
        <v>67.489999999999995</v>
      </c>
      <c r="I103">
        <v>64.48</v>
      </c>
      <c r="J103">
        <v>2</v>
      </c>
      <c r="K103">
        <f t="shared" si="12"/>
        <v>249</v>
      </c>
      <c r="L103" t="s">
        <v>15</v>
      </c>
      <c r="M103" s="1">
        <f t="shared" si="13"/>
        <v>0</v>
      </c>
      <c r="N103" t="str">
        <f t="shared" ca="1" si="14"/>
        <v>Net 30</v>
      </c>
      <c r="O103">
        <f t="shared" ca="1" si="15"/>
        <v>30</v>
      </c>
      <c r="P103" s="1">
        <f t="shared" ca="1" si="16"/>
        <v>30</v>
      </c>
      <c r="Q103" s="1">
        <f t="shared" ca="1" si="17"/>
        <v>29</v>
      </c>
      <c r="R103">
        <f t="shared" ca="1" si="18"/>
        <v>29</v>
      </c>
      <c r="S103" t="str">
        <f t="shared" ca="1" si="19"/>
        <v>On Time</v>
      </c>
      <c r="T103" t="str">
        <f t="shared" ca="1" si="20"/>
        <v>0-30</v>
      </c>
      <c r="U103">
        <f t="shared" ca="1" si="21"/>
        <v>0</v>
      </c>
      <c r="V103" t="str">
        <f t="shared" ca="1" si="22"/>
        <v>Efficient</v>
      </c>
      <c r="W103">
        <f t="shared" si="23"/>
        <v>16184.480000000001</v>
      </c>
    </row>
    <row r="104" spans="1:23" x14ac:dyDescent="0.35">
      <c r="A104" t="s">
        <v>129</v>
      </c>
      <c r="B104" t="s">
        <v>20</v>
      </c>
      <c r="C104" s="1">
        <v>44594</v>
      </c>
      <c r="D104" s="1">
        <v>44610</v>
      </c>
      <c r="E104" t="s">
        <v>26</v>
      </c>
      <c r="F104" t="s">
        <v>18</v>
      </c>
      <c r="G104">
        <v>1045</v>
      </c>
      <c r="H104">
        <v>47.88</v>
      </c>
      <c r="I104">
        <v>44.65</v>
      </c>
      <c r="J104">
        <v>69</v>
      </c>
      <c r="K104">
        <f t="shared" si="12"/>
        <v>976</v>
      </c>
      <c r="L104" t="s">
        <v>15</v>
      </c>
      <c r="M104" s="1">
        <f t="shared" si="13"/>
        <v>44610</v>
      </c>
      <c r="N104" t="str">
        <f t="shared" ca="1" si="14"/>
        <v>Net 45</v>
      </c>
      <c r="O104">
        <f t="shared" ca="1" si="15"/>
        <v>45</v>
      </c>
      <c r="P104" s="1">
        <f t="shared" ca="1" si="16"/>
        <v>44655</v>
      </c>
      <c r="Q104" s="1">
        <f t="shared" ca="1" si="17"/>
        <v>44670</v>
      </c>
      <c r="R104">
        <f t="shared" ca="1" si="18"/>
        <v>60</v>
      </c>
      <c r="S104" t="str">
        <f t="shared" ca="1" si="19"/>
        <v>Late</v>
      </c>
      <c r="T104" t="str">
        <f t="shared" ca="1" si="20"/>
        <v>31-60</v>
      </c>
      <c r="U104">
        <f t="shared" ca="1" si="21"/>
        <v>15</v>
      </c>
      <c r="V104" t="str">
        <f t="shared" ca="1" si="22"/>
        <v>Inefficient</v>
      </c>
      <c r="W104">
        <f t="shared" si="23"/>
        <v>46659.25</v>
      </c>
    </row>
    <row r="105" spans="1:23" x14ac:dyDescent="0.35">
      <c r="A105" t="s">
        <v>130</v>
      </c>
      <c r="B105" t="s">
        <v>17</v>
      </c>
      <c r="C105" s="1">
        <v>44885</v>
      </c>
      <c r="D105" s="1">
        <v>44905</v>
      </c>
      <c r="E105" t="s">
        <v>21</v>
      </c>
      <c r="F105" t="s">
        <v>18</v>
      </c>
      <c r="G105">
        <v>319</v>
      </c>
      <c r="H105">
        <v>98.64</v>
      </c>
      <c r="I105">
        <v>89.15</v>
      </c>
      <c r="J105">
        <v>57</v>
      </c>
      <c r="K105">
        <f t="shared" si="12"/>
        <v>262</v>
      </c>
      <c r="L105" t="s">
        <v>15</v>
      </c>
      <c r="M105" s="1">
        <f t="shared" si="13"/>
        <v>44905</v>
      </c>
      <c r="N105" t="str">
        <f t="shared" ca="1" si="14"/>
        <v>Net 45</v>
      </c>
      <c r="O105">
        <f t="shared" ca="1" si="15"/>
        <v>45</v>
      </c>
      <c r="P105" s="1">
        <f t="shared" ca="1" si="16"/>
        <v>44950</v>
      </c>
      <c r="Q105" s="1">
        <f t="shared" ca="1" si="17"/>
        <v>44969</v>
      </c>
      <c r="R105">
        <f t="shared" ca="1" si="18"/>
        <v>64</v>
      </c>
      <c r="S105" t="str">
        <f t="shared" ca="1" si="19"/>
        <v>Late</v>
      </c>
      <c r="T105" t="str">
        <f t="shared" ca="1" si="20"/>
        <v>61-90</v>
      </c>
      <c r="U105">
        <f t="shared" ca="1" si="21"/>
        <v>19</v>
      </c>
      <c r="V105" t="str">
        <f t="shared" ca="1" si="22"/>
        <v>Inefficient</v>
      </c>
      <c r="W105">
        <f t="shared" si="23"/>
        <v>28438.850000000002</v>
      </c>
    </row>
    <row r="106" spans="1:23" x14ac:dyDescent="0.35">
      <c r="A106" t="s">
        <v>131</v>
      </c>
      <c r="B106" t="s">
        <v>29</v>
      </c>
      <c r="C106" s="1">
        <v>44972</v>
      </c>
      <c r="D106" s="1">
        <v>44986</v>
      </c>
      <c r="E106" t="s">
        <v>13</v>
      </c>
      <c r="F106" t="s">
        <v>33</v>
      </c>
      <c r="G106">
        <v>1936</v>
      </c>
      <c r="H106">
        <v>93.66</v>
      </c>
      <c r="I106">
        <v>92.24</v>
      </c>
      <c r="J106">
        <v>58</v>
      </c>
      <c r="K106">
        <f t="shared" si="12"/>
        <v>1878</v>
      </c>
      <c r="L106" t="s">
        <v>15</v>
      </c>
      <c r="M106" s="1">
        <f t="shared" si="13"/>
        <v>44986</v>
      </c>
      <c r="N106" t="str">
        <f t="shared" ca="1" si="14"/>
        <v>Net 15</v>
      </c>
      <c r="O106">
        <f t="shared" ca="1" si="15"/>
        <v>15</v>
      </c>
      <c r="P106" s="1">
        <f t="shared" ca="1" si="16"/>
        <v>45001</v>
      </c>
      <c r="Q106" s="1">
        <f t="shared" ca="1" si="17"/>
        <v>44996</v>
      </c>
      <c r="R106">
        <f t="shared" ca="1" si="18"/>
        <v>10</v>
      </c>
      <c r="S106" t="str">
        <f t="shared" ca="1" si="19"/>
        <v>On Time</v>
      </c>
      <c r="T106" t="str">
        <f t="shared" ca="1" si="20"/>
        <v>0-30</v>
      </c>
      <c r="U106">
        <f t="shared" ca="1" si="21"/>
        <v>0</v>
      </c>
      <c r="V106" t="str">
        <f t="shared" ca="1" si="22"/>
        <v>Efficient</v>
      </c>
      <c r="W106">
        <f t="shared" si="23"/>
        <v>178576.63999999998</v>
      </c>
    </row>
    <row r="107" spans="1:23" x14ac:dyDescent="0.35">
      <c r="A107" t="s">
        <v>132</v>
      </c>
      <c r="B107" t="s">
        <v>17</v>
      </c>
      <c r="C107" s="1">
        <v>44836</v>
      </c>
      <c r="D107" s="1">
        <v>44856</v>
      </c>
      <c r="E107" t="s">
        <v>21</v>
      </c>
      <c r="F107" t="s">
        <v>14</v>
      </c>
      <c r="G107">
        <v>865</v>
      </c>
      <c r="H107">
        <v>14.7</v>
      </c>
      <c r="I107">
        <v>13.14</v>
      </c>
      <c r="J107">
        <v>135</v>
      </c>
      <c r="K107">
        <f t="shared" si="12"/>
        <v>730</v>
      </c>
      <c r="L107" t="s">
        <v>27</v>
      </c>
      <c r="M107" s="1">
        <f t="shared" si="13"/>
        <v>44856</v>
      </c>
      <c r="N107" t="str">
        <f t="shared" ca="1" si="14"/>
        <v>Net 15</v>
      </c>
      <c r="O107">
        <f t="shared" ca="1" si="15"/>
        <v>15</v>
      </c>
      <c r="P107" s="1">
        <f t="shared" ca="1" si="16"/>
        <v>44871</v>
      </c>
      <c r="Q107" s="1">
        <f t="shared" ca="1" si="17"/>
        <v>44876</v>
      </c>
      <c r="R107">
        <f t="shared" ca="1" si="18"/>
        <v>20</v>
      </c>
      <c r="S107" t="str">
        <f t="shared" ca="1" si="19"/>
        <v>Late</v>
      </c>
      <c r="T107" t="str">
        <f t="shared" ca="1" si="20"/>
        <v>0-30</v>
      </c>
      <c r="U107">
        <f t="shared" ca="1" si="21"/>
        <v>5</v>
      </c>
      <c r="V107" t="str">
        <f t="shared" ca="1" si="22"/>
        <v>Inefficient</v>
      </c>
      <c r="W107">
        <f t="shared" si="23"/>
        <v>11366.1</v>
      </c>
    </row>
    <row r="108" spans="1:23" x14ac:dyDescent="0.35">
      <c r="A108" t="s">
        <v>133</v>
      </c>
      <c r="B108" t="s">
        <v>29</v>
      </c>
      <c r="C108" s="1">
        <v>44629</v>
      </c>
      <c r="D108" s="1">
        <v>44632</v>
      </c>
      <c r="E108" t="s">
        <v>39</v>
      </c>
      <c r="F108" t="s">
        <v>18</v>
      </c>
      <c r="G108">
        <v>1344</v>
      </c>
      <c r="H108">
        <v>12.5</v>
      </c>
      <c r="I108">
        <v>10.87</v>
      </c>
      <c r="J108">
        <v>44</v>
      </c>
      <c r="K108">
        <f t="shared" si="12"/>
        <v>1300</v>
      </c>
      <c r="L108" t="s">
        <v>15</v>
      </c>
      <c r="M108" s="1">
        <f t="shared" si="13"/>
        <v>44632</v>
      </c>
      <c r="N108" t="str">
        <f t="shared" ca="1" si="14"/>
        <v>Net 15</v>
      </c>
      <c r="O108">
        <f t="shared" ca="1" si="15"/>
        <v>15</v>
      </c>
      <c r="P108" s="1">
        <f t="shared" ca="1" si="16"/>
        <v>44647</v>
      </c>
      <c r="Q108" s="1">
        <f t="shared" ca="1" si="17"/>
        <v>44656</v>
      </c>
      <c r="R108">
        <f t="shared" ca="1" si="18"/>
        <v>24</v>
      </c>
      <c r="S108" t="str">
        <f t="shared" ca="1" si="19"/>
        <v>Late</v>
      </c>
      <c r="T108" t="str">
        <f t="shared" ca="1" si="20"/>
        <v>0-30</v>
      </c>
      <c r="U108">
        <f t="shared" ca="1" si="21"/>
        <v>9</v>
      </c>
      <c r="V108" t="str">
        <f t="shared" ca="1" si="22"/>
        <v>Inefficient</v>
      </c>
      <c r="W108">
        <f t="shared" si="23"/>
        <v>14609.279999999999</v>
      </c>
    </row>
    <row r="109" spans="1:23" x14ac:dyDescent="0.35">
      <c r="A109" t="s">
        <v>134</v>
      </c>
      <c r="B109" t="s">
        <v>17</v>
      </c>
      <c r="C109" s="1">
        <v>44778</v>
      </c>
      <c r="D109" s="1">
        <v>44797</v>
      </c>
      <c r="E109" t="s">
        <v>26</v>
      </c>
      <c r="F109" t="s">
        <v>35</v>
      </c>
      <c r="G109">
        <v>505</v>
      </c>
      <c r="H109">
        <v>45.42</v>
      </c>
      <c r="I109">
        <v>40.369999999999997</v>
      </c>
      <c r="J109">
        <v>62</v>
      </c>
      <c r="K109">
        <f t="shared" si="12"/>
        <v>443</v>
      </c>
      <c r="L109" t="s">
        <v>15</v>
      </c>
      <c r="M109" s="1">
        <f t="shared" si="13"/>
        <v>44797</v>
      </c>
      <c r="N109" t="str">
        <f t="shared" ca="1" si="14"/>
        <v>Net 30</v>
      </c>
      <c r="O109">
        <f t="shared" ca="1" si="15"/>
        <v>30</v>
      </c>
      <c r="P109" s="1">
        <f t="shared" ca="1" si="16"/>
        <v>44827</v>
      </c>
      <c r="Q109" s="1">
        <f t="shared" ca="1" si="17"/>
        <v>44833</v>
      </c>
      <c r="R109">
        <f t="shared" ca="1" si="18"/>
        <v>36</v>
      </c>
      <c r="S109" t="str">
        <f t="shared" ca="1" si="19"/>
        <v>Late</v>
      </c>
      <c r="T109" t="str">
        <f t="shared" ca="1" si="20"/>
        <v>31-60</v>
      </c>
      <c r="U109">
        <f t="shared" ca="1" si="21"/>
        <v>6</v>
      </c>
      <c r="V109" t="str">
        <f t="shared" ca="1" si="22"/>
        <v>Inefficient</v>
      </c>
      <c r="W109">
        <f t="shared" si="23"/>
        <v>20386.849999999999</v>
      </c>
    </row>
    <row r="110" spans="1:23" x14ac:dyDescent="0.35">
      <c r="A110" t="s">
        <v>135</v>
      </c>
      <c r="B110" t="s">
        <v>23</v>
      </c>
      <c r="C110" s="1">
        <v>45142</v>
      </c>
      <c r="D110" s="1">
        <v>45143</v>
      </c>
      <c r="E110" t="s">
        <v>24</v>
      </c>
      <c r="F110" t="s">
        <v>18</v>
      </c>
      <c r="G110">
        <v>1535</v>
      </c>
      <c r="H110">
        <v>90.83</v>
      </c>
      <c r="I110">
        <v>78.28</v>
      </c>
      <c r="J110">
        <v>151</v>
      </c>
      <c r="K110">
        <f t="shared" si="12"/>
        <v>1384</v>
      </c>
      <c r="L110" t="s">
        <v>27</v>
      </c>
      <c r="M110" s="1">
        <f t="shared" si="13"/>
        <v>45143</v>
      </c>
      <c r="N110" t="str">
        <f t="shared" ca="1" si="14"/>
        <v>Net 15</v>
      </c>
      <c r="O110">
        <f t="shared" ca="1" si="15"/>
        <v>15</v>
      </c>
      <c r="P110" s="1">
        <f t="shared" ca="1" si="16"/>
        <v>45158</v>
      </c>
      <c r="Q110" s="1">
        <f t="shared" ca="1" si="17"/>
        <v>45165</v>
      </c>
      <c r="R110">
        <f t="shared" ca="1" si="18"/>
        <v>22</v>
      </c>
      <c r="S110" t="str">
        <f t="shared" ca="1" si="19"/>
        <v>Late</v>
      </c>
      <c r="T110" t="str">
        <f t="shared" ca="1" si="20"/>
        <v>0-30</v>
      </c>
      <c r="U110">
        <f t="shared" ca="1" si="21"/>
        <v>7</v>
      </c>
      <c r="V110" t="str">
        <f t="shared" ca="1" si="22"/>
        <v>Inefficient</v>
      </c>
      <c r="W110">
        <f t="shared" si="23"/>
        <v>120159.8</v>
      </c>
    </row>
    <row r="111" spans="1:23" x14ac:dyDescent="0.35">
      <c r="A111" t="s">
        <v>136</v>
      </c>
      <c r="B111" t="s">
        <v>23</v>
      </c>
      <c r="C111" s="1">
        <v>44884</v>
      </c>
      <c r="E111" t="s">
        <v>13</v>
      </c>
      <c r="F111" t="s">
        <v>18</v>
      </c>
      <c r="G111">
        <v>1800</v>
      </c>
      <c r="H111">
        <v>103.8</v>
      </c>
      <c r="I111">
        <v>96.27</v>
      </c>
      <c r="J111">
        <v>166</v>
      </c>
      <c r="K111">
        <f t="shared" si="12"/>
        <v>1634</v>
      </c>
      <c r="L111" t="s">
        <v>15</v>
      </c>
      <c r="M111" s="1">
        <f t="shared" si="13"/>
        <v>0</v>
      </c>
      <c r="N111" t="str">
        <f t="shared" ca="1" si="14"/>
        <v>Net 45</v>
      </c>
      <c r="O111">
        <f t="shared" ca="1" si="15"/>
        <v>45</v>
      </c>
      <c r="P111" s="1">
        <f t="shared" ca="1" si="16"/>
        <v>45</v>
      </c>
      <c r="Q111" s="1">
        <f t="shared" ca="1" si="17"/>
        <v>65</v>
      </c>
      <c r="R111">
        <f t="shared" ca="1" si="18"/>
        <v>65</v>
      </c>
      <c r="S111" t="str">
        <f t="shared" ca="1" si="19"/>
        <v>Late</v>
      </c>
      <c r="T111" t="str">
        <f t="shared" ca="1" si="20"/>
        <v>61-90</v>
      </c>
      <c r="U111">
        <f t="shared" ca="1" si="21"/>
        <v>20</v>
      </c>
      <c r="V111" t="str">
        <f t="shared" ca="1" si="22"/>
        <v>Inefficient</v>
      </c>
      <c r="W111">
        <f t="shared" si="23"/>
        <v>173286</v>
      </c>
    </row>
    <row r="112" spans="1:23" x14ac:dyDescent="0.35">
      <c r="A112" t="s">
        <v>137</v>
      </c>
      <c r="B112" t="s">
        <v>17</v>
      </c>
      <c r="C112" s="1">
        <v>44779</v>
      </c>
      <c r="D112" s="1">
        <v>44788</v>
      </c>
      <c r="E112" t="s">
        <v>26</v>
      </c>
      <c r="F112" t="s">
        <v>35</v>
      </c>
      <c r="G112">
        <v>1325</v>
      </c>
      <c r="H112">
        <v>24.36</v>
      </c>
      <c r="I112">
        <v>22.75</v>
      </c>
      <c r="J112">
        <v>206</v>
      </c>
      <c r="K112">
        <f t="shared" si="12"/>
        <v>1119</v>
      </c>
      <c r="L112" t="s">
        <v>15</v>
      </c>
      <c r="M112" s="1">
        <f t="shared" si="13"/>
        <v>44788</v>
      </c>
      <c r="N112" t="str">
        <f t="shared" ca="1" si="14"/>
        <v>Net 30</v>
      </c>
      <c r="O112">
        <f t="shared" ca="1" si="15"/>
        <v>30</v>
      </c>
      <c r="P112" s="1">
        <f t="shared" ca="1" si="16"/>
        <v>44818</v>
      </c>
      <c r="Q112" s="1">
        <f t="shared" ca="1" si="17"/>
        <v>44837</v>
      </c>
      <c r="R112">
        <f t="shared" ca="1" si="18"/>
        <v>49</v>
      </c>
      <c r="S112" t="str">
        <f t="shared" ca="1" si="19"/>
        <v>Late</v>
      </c>
      <c r="T112" t="str">
        <f t="shared" ca="1" si="20"/>
        <v>31-60</v>
      </c>
      <c r="U112">
        <f t="shared" ca="1" si="21"/>
        <v>19</v>
      </c>
      <c r="V112" t="str">
        <f t="shared" ca="1" si="22"/>
        <v>Inefficient</v>
      </c>
      <c r="W112">
        <f t="shared" si="23"/>
        <v>30143.75</v>
      </c>
    </row>
    <row r="113" spans="1:23" x14ac:dyDescent="0.35">
      <c r="A113" t="s">
        <v>138</v>
      </c>
      <c r="B113" t="s">
        <v>20</v>
      </c>
      <c r="C113" s="1">
        <v>45233</v>
      </c>
      <c r="D113" s="1">
        <v>45239</v>
      </c>
      <c r="E113" t="s">
        <v>26</v>
      </c>
      <c r="F113" t="s">
        <v>18</v>
      </c>
      <c r="G113">
        <v>1066</v>
      </c>
      <c r="H113">
        <v>70.45</v>
      </c>
      <c r="I113">
        <v>65.88</v>
      </c>
      <c r="J113">
        <v>56</v>
      </c>
      <c r="K113">
        <f t="shared" si="12"/>
        <v>1010</v>
      </c>
      <c r="L113" t="s">
        <v>27</v>
      </c>
      <c r="M113" s="1">
        <f t="shared" si="13"/>
        <v>45239</v>
      </c>
      <c r="N113" t="str">
        <f t="shared" ca="1" si="14"/>
        <v>Net 45</v>
      </c>
      <c r="O113">
        <f t="shared" ca="1" si="15"/>
        <v>45</v>
      </c>
      <c r="P113" s="1">
        <f t="shared" ca="1" si="16"/>
        <v>45284</v>
      </c>
      <c r="Q113" s="1">
        <f t="shared" ca="1" si="17"/>
        <v>45293</v>
      </c>
      <c r="R113">
        <f t="shared" ca="1" si="18"/>
        <v>54</v>
      </c>
      <c r="S113" t="str">
        <f t="shared" ca="1" si="19"/>
        <v>Late</v>
      </c>
      <c r="T113" t="str">
        <f t="shared" ca="1" si="20"/>
        <v>31-60</v>
      </c>
      <c r="U113">
        <f t="shared" ca="1" si="21"/>
        <v>9</v>
      </c>
      <c r="V113" t="str">
        <f t="shared" ca="1" si="22"/>
        <v>Inefficient</v>
      </c>
      <c r="W113">
        <f t="shared" si="23"/>
        <v>70228.08</v>
      </c>
    </row>
    <row r="114" spans="1:23" x14ac:dyDescent="0.35">
      <c r="A114" t="s">
        <v>139</v>
      </c>
      <c r="B114" t="s">
        <v>23</v>
      </c>
      <c r="C114" s="1">
        <v>45073</v>
      </c>
      <c r="D114" s="1">
        <v>45088</v>
      </c>
      <c r="E114" t="s">
        <v>26</v>
      </c>
      <c r="F114" t="s">
        <v>18</v>
      </c>
      <c r="G114">
        <v>1775</v>
      </c>
      <c r="H114">
        <v>47.82</v>
      </c>
      <c r="I114">
        <v>45.86</v>
      </c>
      <c r="J114">
        <v>180</v>
      </c>
      <c r="K114">
        <f t="shared" si="12"/>
        <v>1595</v>
      </c>
      <c r="L114" t="s">
        <v>15</v>
      </c>
      <c r="M114" s="1">
        <f t="shared" si="13"/>
        <v>45088</v>
      </c>
      <c r="N114" t="str">
        <f t="shared" ca="1" si="14"/>
        <v>Net 30</v>
      </c>
      <c r="O114">
        <f t="shared" ca="1" si="15"/>
        <v>30</v>
      </c>
      <c r="P114" s="1">
        <f t="shared" ca="1" si="16"/>
        <v>45118</v>
      </c>
      <c r="Q114" s="1">
        <f t="shared" ca="1" si="17"/>
        <v>45138</v>
      </c>
      <c r="R114">
        <f t="shared" ca="1" si="18"/>
        <v>50</v>
      </c>
      <c r="S114" t="str">
        <f t="shared" ca="1" si="19"/>
        <v>Late</v>
      </c>
      <c r="T114" t="str">
        <f t="shared" ca="1" si="20"/>
        <v>31-60</v>
      </c>
      <c r="U114">
        <f t="shared" ca="1" si="21"/>
        <v>20</v>
      </c>
      <c r="V114" t="str">
        <f t="shared" ca="1" si="22"/>
        <v>Inefficient</v>
      </c>
      <c r="W114">
        <f t="shared" si="23"/>
        <v>81401.5</v>
      </c>
    </row>
    <row r="115" spans="1:23" x14ac:dyDescent="0.35">
      <c r="A115" t="s">
        <v>140</v>
      </c>
      <c r="B115" t="s">
        <v>20</v>
      </c>
      <c r="C115" s="1">
        <v>44967</v>
      </c>
      <c r="E115" t="s">
        <v>26</v>
      </c>
      <c r="F115" t="s">
        <v>33</v>
      </c>
      <c r="G115">
        <v>345</v>
      </c>
      <c r="H115">
        <v>103.62</v>
      </c>
      <c r="I115">
        <v>98.09</v>
      </c>
      <c r="J115">
        <v>25</v>
      </c>
      <c r="K115">
        <f t="shared" si="12"/>
        <v>320</v>
      </c>
      <c r="L115" t="s">
        <v>27</v>
      </c>
      <c r="M115" s="1">
        <f t="shared" si="13"/>
        <v>0</v>
      </c>
      <c r="N115" t="str">
        <f t="shared" ca="1" si="14"/>
        <v>Net 45</v>
      </c>
      <c r="O115">
        <f t="shared" ca="1" si="15"/>
        <v>45</v>
      </c>
      <c r="P115" s="1">
        <f t="shared" ca="1" si="16"/>
        <v>45</v>
      </c>
      <c r="Q115" s="1">
        <f t="shared" ca="1" si="17"/>
        <v>63</v>
      </c>
      <c r="R115">
        <f t="shared" ca="1" si="18"/>
        <v>63</v>
      </c>
      <c r="S115" t="str">
        <f t="shared" ca="1" si="19"/>
        <v>Late</v>
      </c>
      <c r="T115" t="str">
        <f t="shared" ca="1" si="20"/>
        <v>61-90</v>
      </c>
      <c r="U115">
        <f t="shared" ca="1" si="21"/>
        <v>18</v>
      </c>
      <c r="V115" t="str">
        <f t="shared" ca="1" si="22"/>
        <v>Inefficient</v>
      </c>
      <c r="W115">
        <f t="shared" si="23"/>
        <v>33841.050000000003</v>
      </c>
    </row>
    <row r="116" spans="1:23" x14ac:dyDescent="0.35">
      <c r="A116" t="s">
        <v>141</v>
      </c>
      <c r="B116" t="s">
        <v>23</v>
      </c>
      <c r="C116" s="1">
        <v>45220</v>
      </c>
      <c r="D116" s="1">
        <v>45239</v>
      </c>
      <c r="E116" t="s">
        <v>39</v>
      </c>
      <c r="F116" t="s">
        <v>18</v>
      </c>
      <c r="G116">
        <v>1798</v>
      </c>
      <c r="H116">
        <v>94.8</v>
      </c>
      <c r="I116">
        <v>91.83</v>
      </c>
      <c r="K116">
        <f t="shared" si="12"/>
        <v>1798</v>
      </c>
      <c r="L116" t="s">
        <v>15</v>
      </c>
      <c r="M116" s="1">
        <f t="shared" si="13"/>
        <v>45239</v>
      </c>
      <c r="N116" t="str">
        <f t="shared" ca="1" si="14"/>
        <v>Net 45</v>
      </c>
      <c r="O116">
        <f t="shared" ca="1" si="15"/>
        <v>45</v>
      </c>
      <c r="P116" s="1">
        <f t="shared" ca="1" si="16"/>
        <v>45284</v>
      </c>
      <c r="Q116" s="1">
        <f t="shared" ca="1" si="17"/>
        <v>45304</v>
      </c>
      <c r="R116">
        <f t="shared" ca="1" si="18"/>
        <v>65</v>
      </c>
      <c r="S116" t="str">
        <f t="shared" ca="1" si="19"/>
        <v>Late</v>
      </c>
      <c r="T116" t="str">
        <f t="shared" ca="1" si="20"/>
        <v>61-90</v>
      </c>
      <c r="U116">
        <f t="shared" ca="1" si="21"/>
        <v>20</v>
      </c>
      <c r="V116" t="str">
        <f t="shared" ca="1" si="22"/>
        <v>Inefficient</v>
      </c>
      <c r="W116">
        <f t="shared" si="23"/>
        <v>165110.34</v>
      </c>
    </row>
    <row r="117" spans="1:23" x14ac:dyDescent="0.35">
      <c r="A117" t="s">
        <v>142</v>
      </c>
      <c r="B117" t="s">
        <v>12</v>
      </c>
      <c r="C117" s="1">
        <v>45031</v>
      </c>
      <c r="D117" s="1">
        <v>45047</v>
      </c>
      <c r="E117" t="s">
        <v>21</v>
      </c>
      <c r="F117" t="s">
        <v>18</v>
      </c>
      <c r="G117">
        <v>769</v>
      </c>
      <c r="H117">
        <v>91.86</v>
      </c>
      <c r="I117">
        <v>86.55</v>
      </c>
      <c r="J117">
        <v>17</v>
      </c>
      <c r="K117">
        <f t="shared" si="12"/>
        <v>752</v>
      </c>
      <c r="L117" t="s">
        <v>15</v>
      </c>
      <c r="M117" s="1">
        <f t="shared" si="13"/>
        <v>45047</v>
      </c>
      <c r="N117" t="str">
        <f t="shared" ca="1" si="14"/>
        <v>Net 30</v>
      </c>
      <c r="O117">
        <f t="shared" ca="1" si="15"/>
        <v>30</v>
      </c>
      <c r="P117" s="1">
        <f t="shared" ca="1" si="16"/>
        <v>45077</v>
      </c>
      <c r="Q117" s="1">
        <f t="shared" ca="1" si="17"/>
        <v>45084</v>
      </c>
      <c r="R117">
        <f t="shared" ca="1" si="18"/>
        <v>37</v>
      </c>
      <c r="S117" t="str">
        <f t="shared" ca="1" si="19"/>
        <v>Late</v>
      </c>
      <c r="T117" t="str">
        <f t="shared" ca="1" si="20"/>
        <v>31-60</v>
      </c>
      <c r="U117">
        <f t="shared" ca="1" si="21"/>
        <v>7</v>
      </c>
      <c r="V117" t="str">
        <f t="shared" ca="1" si="22"/>
        <v>Inefficient</v>
      </c>
      <c r="W117">
        <f t="shared" si="23"/>
        <v>66556.95</v>
      </c>
    </row>
    <row r="118" spans="1:23" x14ac:dyDescent="0.35">
      <c r="A118" t="s">
        <v>143</v>
      </c>
      <c r="B118" t="s">
        <v>12</v>
      </c>
      <c r="C118" s="1">
        <v>44708</v>
      </c>
      <c r="E118" t="s">
        <v>24</v>
      </c>
      <c r="F118" t="s">
        <v>18</v>
      </c>
      <c r="G118">
        <v>1822</v>
      </c>
      <c r="H118">
        <v>53.23</v>
      </c>
      <c r="I118">
        <v>47.49</v>
      </c>
      <c r="J118">
        <v>39</v>
      </c>
      <c r="K118">
        <f t="shared" si="12"/>
        <v>1783</v>
      </c>
      <c r="L118" t="s">
        <v>15</v>
      </c>
      <c r="M118" s="1">
        <f t="shared" si="13"/>
        <v>0</v>
      </c>
      <c r="N118" t="str">
        <f t="shared" ca="1" si="14"/>
        <v>Net 15</v>
      </c>
      <c r="O118">
        <f t="shared" ca="1" si="15"/>
        <v>15</v>
      </c>
      <c r="P118" s="1">
        <f t="shared" ca="1" si="16"/>
        <v>15</v>
      </c>
      <c r="Q118" s="1">
        <f t="shared" ca="1" si="17"/>
        <v>35</v>
      </c>
      <c r="R118">
        <f t="shared" ca="1" si="18"/>
        <v>35</v>
      </c>
      <c r="S118" t="str">
        <f t="shared" ca="1" si="19"/>
        <v>Late</v>
      </c>
      <c r="T118" t="str">
        <f t="shared" ca="1" si="20"/>
        <v>31-60</v>
      </c>
      <c r="U118">
        <f t="shared" ca="1" si="21"/>
        <v>20</v>
      </c>
      <c r="V118" t="str">
        <f t="shared" ca="1" si="22"/>
        <v>Inefficient</v>
      </c>
      <c r="W118">
        <f t="shared" si="23"/>
        <v>86526.78</v>
      </c>
    </row>
    <row r="119" spans="1:23" x14ac:dyDescent="0.35">
      <c r="A119" t="s">
        <v>144</v>
      </c>
      <c r="B119" t="s">
        <v>17</v>
      </c>
      <c r="C119" s="1">
        <v>44833</v>
      </c>
      <c r="D119" s="1">
        <v>44847</v>
      </c>
      <c r="E119" t="s">
        <v>24</v>
      </c>
      <c r="F119" t="s">
        <v>18</v>
      </c>
      <c r="G119">
        <v>387</v>
      </c>
      <c r="H119">
        <v>49.23</v>
      </c>
      <c r="I119">
        <v>45.41</v>
      </c>
      <c r="J119">
        <v>61</v>
      </c>
      <c r="K119">
        <f t="shared" si="12"/>
        <v>326</v>
      </c>
      <c r="L119" t="s">
        <v>15</v>
      </c>
      <c r="M119" s="1">
        <f t="shared" si="13"/>
        <v>44847</v>
      </c>
      <c r="N119" t="str">
        <f t="shared" ca="1" si="14"/>
        <v>Net 30</v>
      </c>
      <c r="O119">
        <f t="shared" ca="1" si="15"/>
        <v>30</v>
      </c>
      <c r="P119" s="1">
        <f t="shared" ca="1" si="16"/>
        <v>44877</v>
      </c>
      <c r="Q119" s="1">
        <f t="shared" ca="1" si="17"/>
        <v>44877</v>
      </c>
      <c r="R119">
        <f t="shared" ca="1" si="18"/>
        <v>30</v>
      </c>
      <c r="S119" t="str">
        <f t="shared" ca="1" si="19"/>
        <v>On Time</v>
      </c>
      <c r="T119" t="str">
        <f t="shared" ca="1" si="20"/>
        <v>0-30</v>
      </c>
      <c r="U119">
        <f t="shared" ca="1" si="21"/>
        <v>0</v>
      </c>
      <c r="V119" t="str">
        <f t="shared" ca="1" si="22"/>
        <v>Efficient</v>
      </c>
      <c r="W119">
        <f t="shared" si="23"/>
        <v>17573.669999999998</v>
      </c>
    </row>
    <row r="120" spans="1:23" x14ac:dyDescent="0.35">
      <c r="A120" t="s">
        <v>145</v>
      </c>
      <c r="B120" t="s">
        <v>29</v>
      </c>
      <c r="C120" s="1">
        <v>44704</v>
      </c>
      <c r="D120" s="1">
        <v>44708</v>
      </c>
      <c r="E120" t="s">
        <v>21</v>
      </c>
      <c r="F120" t="s">
        <v>18</v>
      </c>
      <c r="G120">
        <v>928</v>
      </c>
      <c r="H120">
        <v>35.299999999999997</v>
      </c>
      <c r="I120">
        <v>32.520000000000003</v>
      </c>
      <c r="J120">
        <v>26</v>
      </c>
      <c r="K120">
        <f t="shared" si="12"/>
        <v>902</v>
      </c>
      <c r="L120" t="s">
        <v>15</v>
      </c>
      <c r="M120" s="1">
        <f t="shared" si="13"/>
        <v>44708</v>
      </c>
      <c r="N120" t="str">
        <f t="shared" ca="1" si="14"/>
        <v>Net 30</v>
      </c>
      <c r="O120">
        <f t="shared" ca="1" si="15"/>
        <v>30</v>
      </c>
      <c r="P120" s="1">
        <f t="shared" ca="1" si="16"/>
        <v>44738</v>
      </c>
      <c r="Q120" s="1">
        <f t="shared" ca="1" si="17"/>
        <v>44744</v>
      </c>
      <c r="R120">
        <f t="shared" ca="1" si="18"/>
        <v>36</v>
      </c>
      <c r="S120" t="str">
        <f t="shared" ca="1" si="19"/>
        <v>Late</v>
      </c>
      <c r="T120" t="str">
        <f t="shared" ca="1" si="20"/>
        <v>31-60</v>
      </c>
      <c r="U120">
        <f t="shared" ca="1" si="21"/>
        <v>6</v>
      </c>
      <c r="V120" t="str">
        <f t="shared" ca="1" si="22"/>
        <v>Inefficient</v>
      </c>
      <c r="W120">
        <f t="shared" si="23"/>
        <v>30178.560000000001</v>
      </c>
    </row>
    <row r="121" spans="1:23" x14ac:dyDescent="0.35">
      <c r="A121" t="s">
        <v>146</v>
      </c>
      <c r="B121" t="s">
        <v>12</v>
      </c>
      <c r="C121" s="1">
        <v>44814</v>
      </c>
      <c r="D121" s="1">
        <v>44825</v>
      </c>
      <c r="E121" t="s">
        <v>24</v>
      </c>
      <c r="F121" t="s">
        <v>33</v>
      </c>
      <c r="G121">
        <v>1126</v>
      </c>
      <c r="H121">
        <v>15.68</v>
      </c>
      <c r="I121">
        <v>14.97</v>
      </c>
      <c r="J121">
        <v>27</v>
      </c>
      <c r="K121">
        <f t="shared" si="12"/>
        <v>1099</v>
      </c>
      <c r="L121" t="s">
        <v>15</v>
      </c>
      <c r="M121" s="1">
        <f t="shared" si="13"/>
        <v>44825</v>
      </c>
      <c r="N121" t="str">
        <f t="shared" ca="1" si="14"/>
        <v>Net 15</v>
      </c>
      <c r="O121">
        <f t="shared" ca="1" si="15"/>
        <v>15</v>
      </c>
      <c r="P121" s="1">
        <f t="shared" ca="1" si="16"/>
        <v>44840</v>
      </c>
      <c r="Q121" s="1">
        <f t="shared" ca="1" si="17"/>
        <v>44848</v>
      </c>
      <c r="R121">
        <f t="shared" ca="1" si="18"/>
        <v>23</v>
      </c>
      <c r="S121" t="str">
        <f t="shared" ca="1" si="19"/>
        <v>Late</v>
      </c>
      <c r="T121" t="str">
        <f t="shared" ca="1" si="20"/>
        <v>0-30</v>
      </c>
      <c r="U121">
        <f t="shared" ca="1" si="21"/>
        <v>8</v>
      </c>
      <c r="V121" t="str">
        <f t="shared" ca="1" si="22"/>
        <v>Inefficient</v>
      </c>
      <c r="W121">
        <f t="shared" si="23"/>
        <v>16856.22</v>
      </c>
    </row>
    <row r="122" spans="1:23" x14ac:dyDescent="0.35">
      <c r="A122" t="s">
        <v>147</v>
      </c>
      <c r="B122" t="s">
        <v>23</v>
      </c>
      <c r="C122" s="1">
        <v>45136</v>
      </c>
      <c r="D122" s="1">
        <v>45152</v>
      </c>
      <c r="E122" t="s">
        <v>26</v>
      </c>
      <c r="F122" t="s">
        <v>14</v>
      </c>
      <c r="G122">
        <v>841</v>
      </c>
      <c r="H122">
        <v>95.73</v>
      </c>
      <c r="I122">
        <v>85.33</v>
      </c>
      <c r="J122">
        <v>81</v>
      </c>
      <c r="K122">
        <f t="shared" si="12"/>
        <v>760</v>
      </c>
      <c r="L122" t="s">
        <v>15</v>
      </c>
      <c r="M122" s="1">
        <f t="shared" si="13"/>
        <v>45152</v>
      </c>
      <c r="N122" t="str">
        <f t="shared" ca="1" si="14"/>
        <v>Net 30</v>
      </c>
      <c r="O122">
        <f t="shared" ca="1" si="15"/>
        <v>30</v>
      </c>
      <c r="P122" s="1">
        <f t="shared" ca="1" si="16"/>
        <v>45182</v>
      </c>
      <c r="Q122" s="1">
        <f t="shared" ca="1" si="17"/>
        <v>45194</v>
      </c>
      <c r="R122">
        <f t="shared" ca="1" si="18"/>
        <v>42</v>
      </c>
      <c r="S122" t="str">
        <f t="shared" ca="1" si="19"/>
        <v>Late</v>
      </c>
      <c r="T122" t="str">
        <f t="shared" ca="1" si="20"/>
        <v>31-60</v>
      </c>
      <c r="U122">
        <f t="shared" ca="1" si="21"/>
        <v>12</v>
      </c>
      <c r="V122" t="str">
        <f t="shared" ca="1" si="22"/>
        <v>Inefficient</v>
      </c>
      <c r="W122">
        <f t="shared" si="23"/>
        <v>71762.53</v>
      </c>
    </row>
    <row r="123" spans="1:23" x14ac:dyDescent="0.35">
      <c r="A123" t="s">
        <v>148</v>
      </c>
      <c r="B123" t="s">
        <v>23</v>
      </c>
      <c r="C123" s="1">
        <v>45113</v>
      </c>
      <c r="D123" s="1">
        <v>45126</v>
      </c>
      <c r="E123" t="s">
        <v>39</v>
      </c>
      <c r="F123" t="s">
        <v>18</v>
      </c>
      <c r="G123">
        <v>1995</v>
      </c>
      <c r="H123">
        <v>90.65</v>
      </c>
      <c r="I123">
        <v>77.75</v>
      </c>
      <c r="J123">
        <v>206</v>
      </c>
      <c r="K123">
        <f t="shared" si="12"/>
        <v>1789</v>
      </c>
      <c r="L123" t="s">
        <v>15</v>
      </c>
      <c r="M123" s="1">
        <f t="shared" si="13"/>
        <v>45126</v>
      </c>
      <c r="N123" t="str">
        <f t="shared" ca="1" si="14"/>
        <v>Net 15</v>
      </c>
      <c r="O123">
        <f t="shared" ca="1" si="15"/>
        <v>15</v>
      </c>
      <c r="P123" s="1">
        <f t="shared" ca="1" si="16"/>
        <v>45141</v>
      </c>
      <c r="Q123" s="1">
        <f t="shared" ca="1" si="17"/>
        <v>45153</v>
      </c>
      <c r="R123">
        <f t="shared" ca="1" si="18"/>
        <v>27</v>
      </c>
      <c r="S123" t="str">
        <f t="shared" ca="1" si="19"/>
        <v>Late</v>
      </c>
      <c r="T123" t="str">
        <f t="shared" ca="1" si="20"/>
        <v>0-30</v>
      </c>
      <c r="U123">
        <f t="shared" ca="1" si="21"/>
        <v>12</v>
      </c>
      <c r="V123" t="str">
        <f t="shared" ca="1" si="22"/>
        <v>Inefficient</v>
      </c>
      <c r="W123">
        <f t="shared" si="23"/>
        <v>155111.25</v>
      </c>
    </row>
    <row r="124" spans="1:23" x14ac:dyDescent="0.35">
      <c r="A124" t="s">
        <v>149</v>
      </c>
      <c r="B124" t="s">
        <v>12</v>
      </c>
      <c r="C124" s="1">
        <v>44831</v>
      </c>
      <c r="D124" s="1">
        <v>44849</v>
      </c>
      <c r="E124" t="s">
        <v>26</v>
      </c>
      <c r="F124" t="s">
        <v>18</v>
      </c>
      <c r="G124">
        <v>266</v>
      </c>
      <c r="H124">
        <v>103.97</v>
      </c>
      <c r="I124">
        <v>101.44</v>
      </c>
      <c r="J124">
        <v>6</v>
      </c>
      <c r="K124">
        <f t="shared" si="12"/>
        <v>260</v>
      </c>
      <c r="L124" t="s">
        <v>15</v>
      </c>
      <c r="M124" s="1">
        <f t="shared" si="13"/>
        <v>44849</v>
      </c>
      <c r="N124" t="str">
        <f t="shared" ca="1" si="14"/>
        <v>Net 45</v>
      </c>
      <c r="O124">
        <f t="shared" ca="1" si="15"/>
        <v>45</v>
      </c>
      <c r="P124" s="1">
        <f t="shared" ca="1" si="16"/>
        <v>44894</v>
      </c>
      <c r="Q124" s="1">
        <f t="shared" ca="1" si="17"/>
        <v>44895</v>
      </c>
      <c r="R124">
        <f t="shared" ca="1" si="18"/>
        <v>46</v>
      </c>
      <c r="S124" t="str">
        <f t="shared" ca="1" si="19"/>
        <v>Late</v>
      </c>
      <c r="T124" t="str">
        <f t="shared" ca="1" si="20"/>
        <v>31-60</v>
      </c>
      <c r="U124">
        <f t="shared" ca="1" si="21"/>
        <v>1</v>
      </c>
      <c r="V124" t="str">
        <f t="shared" ca="1" si="22"/>
        <v>Inefficient</v>
      </c>
      <c r="W124">
        <f t="shared" si="23"/>
        <v>26983.040000000001</v>
      </c>
    </row>
    <row r="125" spans="1:23" x14ac:dyDescent="0.35">
      <c r="A125" t="s">
        <v>150</v>
      </c>
      <c r="B125" t="s">
        <v>12</v>
      </c>
      <c r="C125" s="1">
        <v>45160</v>
      </c>
      <c r="D125" s="1">
        <v>45163</v>
      </c>
      <c r="E125" t="s">
        <v>26</v>
      </c>
      <c r="F125" t="s">
        <v>14</v>
      </c>
      <c r="G125">
        <v>813</v>
      </c>
      <c r="H125">
        <v>109.17</v>
      </c>
      <c r="I125">
        <v>107.39</v>
      </c>
      <c r="J125">
        <v>14</v>
      </c>
      <c r="K125">
        <f t="shared" si="12"/>
        <v>799</v>
      </c>
      <c r="L125" t="s">
        <v>15</v>
      </c>
      <c r="M125" s="1">
        <f t="shared" si="13"/>
        <v>45163</v>
      </c>
      <c r="N125" t="str">
        <f t="shared" ca="1" si="14"/>
        <v>Net 30</v>
      </c>
      <c r="O125">
        <f t="shared" ca="1" si="15"/>
        <v>30</v>
      </c>
      <c r="P125" s="1">
        <f t="shared" ca="1" si="16"/>
        <v>45193</v>
      </c>
      <c r="Q125" s="1">
        <f t="shared" ca="1" si="17"/>
        <v>45203</v>
      </c>
      <c r="R125">
        <f t="shared" ca="1" si="18"/>
        <v>40</v>
      </c>
      <c r="S125" t="str">
        <f t="shared" ca="1" si="19"/>
        <v>Late</v>
      </c>
      <c r="T125" t="str">
        <f t="shared" ca="1" si="20"/>
        <v>31-60</v>
      </c>
      <c r="U125">
        <f t="shared" ca="1" si="21"/>
        <v>10</v>
      </c>
      <c r="V125" t="str">
        <f t="shared" ca="1" si="22"/>
        <v>Inefficient</v>
      </c>
      <c r="W125">
        <f t="shared" si="23"/>
        <v>87308.07</v>
      </c>
    </row>
    <row r="126" spans="1:23" x14ac:dyDescent="0.35">
      <c r="A126" t="s">
        <v>151</v>
      </c>
      <c r="B126" t="s">
        <v>29</v>
      </c>
      <c r="C126" s="1">
        <v>45000</v>
      </c>
      <c r="D126" s="1">
        <v>45011</v>
      </c>
      <c r="E126" t="s">
        <v>39</v>
      </c>
      <c r="F126" t="s">
        <v>18</v>
      </c>
      <c r="G126">
        <v>237</v>
      </c>
      <c r="H126">
        <v>64.19</v>
      </c>
      <c r="I126">
        <v>59.01</v>
      </c>
      <c r="J126">
        <v>7</v>
      </c>
      <c r="K126">
        <f t="shared" si="12"/>
        <v>230</v>
      </c>
      <c r="L126" t="s">
        <v>15</v>
      </c>
      <c r="M126" s="1">
        <f t="shared" si="13"/>
        <v>45011</v>
      </c>
      <c r="N126" t="str">
        <f t="shared" ca="1" si="14"/>
        <v>Net 45</v>
      </c>
      <c r="O126">
        <f t="shared" ca="1" si="15"/>
        <v>45</v>
      </c>
      <c r="P126" s="1">
        <f t="shared" ca="1" si="16"/>
        <v>45056</v>
      </c>
      <c r="Q126" s="1">
        <f t="shared" ca="1" si="17"/>
        <v>45066</v>
      </c>
      <c r="R126">
        <f t="shared" ca="1" si="18"/>
        <v>55</v>
      </c>
      <c r="S126" t="str">
        <f t="shared" ca="1" si="19"/>
        <v>Late</v>
      </c>
      <c r="T126" t="str">
        <f t="shared" ca="1" si="20"/>
        <v>31-60</v>
      </c>
      <c r="U126">
        <f t="shared" ca="1" si="21"/>
        <v>10</v>
      </c>
      <c r="V126" t="str">
        <f t="shared" ca="1" si="22"/>
        <v>Inefficient</v>
      </c>
      <c r="W126">
        <f t="shared" si="23"/>
        <v>13985.369999999999</v>
      </c>
    </row>
    <row r="127" spans="1:23" x14ac:dyDescent="0.35">
      <c r="A127" t="s">
        <v>152</v>
      </c>
      <c r="B127" t="s">
        <v>12</v>
      </c>
      <c r="C127" s="1">
        <v>45159</v>
      </c>
      <c r="D127" s="1">
        <v>45172</v>
      </c>
      <c r="E127" t="s">
        <v>13</v>
      </c>
      <c r="F127" t="s">
        <v>14</v>
      </c>
      <c r="G127">
        <v>429</v>
      </c>
      <c r="H127">
        <v>86.73</v>
      </c>
      <c r="I127">
        <v>75.09</v>
      </c>
      <c r="J127">
        <v>9</v>
      </c>
      <c r="K127">
        <f t="shared" si="12"/>
        <v>420</v>
      </c>
      <c r="L127" t="s">
        <v>15</v>
      </c>
      <c r="M127" s="1">
        <f t="shared" si="13"/>
        <v>45172</v>
      </c>
      <c r="N127" t="str">
        <f t="shared" ca="1" si="14"/>
        <v>Net 30</v>
      </c>
      <c r="O127">
        <f t="shared" ca="1" si="15"/>
        <v>30</v>
      </c>
      <c r="P127" s="1">
        <f t="shared" ca="1" si="16"/>
        <v>45202</v>
      </c>
      <c r="Q127" s="1">
        <f t="shared" ca="1" si="17"/>
        <v>45197</v>
      </c>
      <c r="R127">
        <f t="shared" ca="1" si="18"/>
        <v>25</v>
      </c>
      <c r="S127" t="str">
        <f t="shared" ca="1" si="19"/>
        <v>On Time</v>
      </c>
      <c r="T127" t="str">
        <f t="shared" ca="1" si="20"/>
        <v>0-30</v>
      </c>
      <c r="U127">
        <f t="shared" ca="1" si="21"/>
        <v>0</v>
      </c>
      <c r="V127" t="str">
        <f t="shared" ca="1" si="22"/>
        <v>Efficient</v>
      </c>
      <c r="W127">
        <f t="shared" si="23"/>
        <v>32213.61</v>
      </c>
    </row>
    <row r="128" spans="1:23" x14ac:dyDescent="0.35">
      <c r="A128" t="s">
        <v>153</v>
      </c>
      <c r="B128" t="s">
        <v>17</v>
      </c>
      <c r="C128" s="1">
        <v>44970</v>
      </c>
      <c r="D128" s="1">
        <v>44971</v>
      </c>
      <c r="E128" t="s">
        <v>24</v>
      </c>
      <c r="F128" t="s">
        <v>18</v>
      </c>
      <c r="G128">
        <v>542</v>
      </c>
      <c r="H128">
        <v>101.21</v>
      </c>
      <c r="I128">
        <v>93.11</v>
      </c>
      <c r="J128">
        <v>78</v>
      </c>
      <c r="K128">
        <f t="shared" si="12"/>
        <v>464</v>
      </c>
      <c r="L128" t="s">
        <v>27</v>
      </c>
      <c r="M128" s="1">
        <f t="shared" si="13"/>
        <v>44971</v>
      </c>
      <c r="N128" t="str">
        <f t="shared" ca="1" si="14"/>
        <v>Net 45</v>
      </c>
      <c r="O128">
        <f t="shared" ca="1" si="15"/>
        <v>45</v>
      </c>
      <c r="P128" s="1">
        <f t="shared" ca="1" si="16"/>
        <v>45016</v>
      </c>
      <c r="Q128" s="1">
        <f t="shared" ca="1" si="17"/>
        <v>45015</v>
      </c>
      <c r="R128">
        <f t="shared" ca="1" si="18"/>
        <v>44</v>
      </c>
      <c r="S128" t="str">
        <f t="shared" ca="1" si="19"/>
        <v>On Time</v>
      </c>
      <c r="T128" t="str">
        <f t="shared" ca="1" si="20"/>
        <v>31-60</v>
      </c>
      <c r="U128">
        <f t="shared" ca="1" si="21"/>
        <v>0</v>
      </c>
      <c r="V128" t="str">
        <f t="shared" ca="1" si="22"/>
        <v>Efficient</v>
      </c>
      <c r="W128">
        <f t="shared" si="23"/>
        <v>50465.62</v>
      </c>
    </row>
    <row r="129" spans="1:23" x14ac:dyDescent="0.35">
      <c r="A129" t="s">
        <v>154</v>
      </c>
      <c r="B129" t="s">
        <v>29</v>
      </c>
      <c r="C129" s="1">
        <v>44932</v>
      </c>
      <c r="D129" s="1">
        <v>44950</v>
      </c>
      <c r="E129" t="s">
        <v>39</v>
      </c>
      <c r="F129" t="s">
        <v>18</v>
      </c>
      <c r="G129">
        <v>1114</v>
      </c>
      <c r="H129">
        <v>91.66</v>
      </c>
      <c r="I129">
        <v>85.53</v>
      </c>
      <c r="J129">
        <v>35</v>
      </c>
      <c r="K129">
        <f t="shared" si="12"/>
        <v>1079</v>
      </c>
      <c r="L129" t="s">
        <v>15</v>
      </c>
      <c r="M129" s="1">
        <f t="shared" si="13"/>
        <v>44950</v>
      </c>
      <c r="N129" t="str">
        <f t="shared" ca="1" si="14"/>
        <v>Net 30</v>
      </c>
      <c r="O129">
        <f t="shared" ca="1" si="15"/>
        <v>30</v>
      </c>
      <c r="P129" s="1">
        <f t="shared" ca="1" si="16"/>
        <v>44980</v>
      </c>
      <c r="Q129" s="1">
        <f t="shared" ca="1" si="17"/>
        <v>44981</v>
      </c>
      <c r="R129">
        <f t="shared" ca="1" si="18"/>
        <v>31</v>
      </c>
      <c r="S129" t="str">
        <f t="shared" ca="1" si="19"/>
        <v>Late</v>
      </c>
      <c r="T129" t="str">
        <f t="shared" ca="1" si="20"/>
        <v>31-60</v>
      </c>
      <c r="U129">
        <f t="shared" ca="1" si="21"/>
        <v>1</v>
      </c>
      <c r="V129" t="str">
        <f t="shared" ca="1" si="22"/>
        <v>Inefficient</v>
      </c>
      <c r="W129">
        <f t="shared" si="23"/>
        <v>95280.42</v>
      </c>
    </row>
    <row r="130" spans="1:23" x14ac:dyDescent="0.35">
      <c r="A130" t="s">
        <v>155</v>
      </c>
      <c r="B130" t="s">
        <v>12</v>
      </c>
      <c r="C130" s="1">
        <v>44786</v>
      </c>
      <c r="D130" s="1">
        <v>44788</v>
      </c>
      <c r="E130" t="s">
        <v>21</v>
      </c>
      <c r="F130" t="s">
        <v>18</v>
      </c>
      <c r="G130">
        <v>1230</v>
      </c>
      <c r="H130">
        <v>33.39</v>
      </c>
      <c r="I130">
        <v>30.85</v>
      </c>
      <c r="J130">
        <v>26</v>
      </c>
      <c r="K130">
        <f t="shared" si="12"/>
        <v>1204</v>
      </c>
      <c r="L130" t="s">
        <v>15</v>
      </c>
      <c r="M130" s="1">
        <f t="shared" si="13"/>
        <v>44788</v>
      </c>
      <c r="N130" t="str">
        <f t="shared" ca="1" si="14"/>
        <v>Net 45</v>
      </c>
      <c r="O130">
        <f t="shared" ca="1" si="15"/>
        <v>45</v>
      </c>
      <c r="P130" s="1">
        <f t="shared" ca="1" si="16"/>
        <v>44833</v>
      </c>
      <c r="Q130" s="1">
        <f t="shared" ca="1" si="17"/>
        <v>44847</v>
      </c>
      <c r="R130">
        <f t="shared" ca="1" si="18"/>
        <v>59</v>
      </c>
      <c r="S130" t="str">
        <f t="shared" ca="1" si="19"/>
        <v>Late</v>
      </c>
      <c r="T130" t="str">
        <f t="shared" ca="1" si="20"/>
        <v>31-60</v>
      </c>
      <c r="U130">
        <f t="shared" ca="1" si="21"/>
        <v>14</v>
      </c>
      <c r="V130" t="str">
        <f t="shared" ca="1" si="22"/>
        <v>Inefficient</v>
      </c>
      <c r="W130">
        <f t="shared" si="23"/>
        <v>37945.5</v>
      </c>
    </row>
    <row r="131" spans="1:23" x14ac:dyDescent="0.35">
      <c r="A131" t="s">
        <v>156</v>
      </c>
      <c r="B131" t="s">
        <v>23</v>
      </c>
      <c r="C131" s="1">
        <v>44703</v>
      </c>
      <c r="D131" s="1">
        <v>44715</v>
      </c>
      <c r="E131" t="s">
        <v>21</v>
      </c>
      <c r="F131" t="s">
        <v>18</v>
      </c>
      <c r="G131">
        <v>64</v>
      </c>
      <c r="H131">
        <v>51.56</v>
      </c>
      <c r="I131">
        <v>50.88</v>
      </c>
      <c r="J131">
        <v>5</v>
      </c>
      <c r="K131">
        <f t="shared" ref="K131:K194" si="24">G131-J131</f>
        <v>59</v>
      </c>
      <c r="L131" t="s">
        <v>15</v>
      </c>
      <c r="M131" s="1">
        <f t="shared" ref="M131:M194" si="25">D131</f>
        <v>44715</v>
      </c>
      <c r="N131" t="str">
        <f t="shared" ref="N131:N194" ca="1" si="26">CHOOSE(RANDBETWEEN(1,3),"Net 15","Net 30","Net 45")</f>
        <v>Net 45</v>
      </c>
      <c r="O131">
        <f t="shared" ref="O131:O194" ca="1" si="27">VALUE(RIGHT(N131,2))</f>
        <v>45</v>
      </c>
      <c r="P131" s="1">
        <f t="shared" ref="P131:P194" ca="1" si="28">(M131+O131)</f>
        <v>44760</v>
      </c>
      <c r="Q131" s="1">
        <f t="shared" ref="Q131:Q194" ca="1" si="29">P131 + RANDBETWEEN(-5,20)</f>
        <v>44762</v>
      </c>
      <c r="R131">
        <f t="shared" ref="R131:R194" ca="1" si="30">Q131-M131</f>
        <v>47</v>
      </c>
      <c r="S131" t="str">
        <f t="shared" ref="S131:S194" ca="1" si="31">IF(Q131&lt;=P131,"On Time","Late")</f>
        <v>Late</v>
      </c>
      <c r="T131" t="str">
        <f t="shared" ref="T131:T194" ca="1" si="32">IF(R131&lt;=30,"0-30",
IF(R131&lt;=60,"31-60",
IF(R131&lt;=90,"61-90","90+")))</f>
        <v>31-60</v>
      </c>
      <c r="U131">
        <f t="shared" ref="U131:U194" ca="1" si="33">MAX(0,Q131-P131)</f>
        <v>2</v>
      </c>
      <c r="V131" t="str">
        <f t="shared" ref="V131:V194" ca="1" si="34">IF(U131=0,"Efficient","Inefficient")</f>
        <v>Inefficient</v>
      </c>
      <c r="W131">
        <f t="shared" ref="W131:W194" si="35">G131*I131</f>
        <v>3256.32</v>
      </c>
    </row>
    <row r="132" spans="1:23" x14ac:dyDescent="0.35">
      <c r="A132" t="s">
        <v>157</v>
      </c>
      <c r="B132" t="s">
        <v>12</v>
      </c>
      <c r="C132" s="1">
        <v>45083</v>
      </c>
      <c r="D132" s="1">
        <v>45099</v>
      </c>
      <c r="E132" t="s">
        <v>21</v>
      </c>
      <c r="F132" t="s">
        <v>18</v>
      </c>
      <c r="G132">
        <v>1886</v>
      </c>
      <c r="H132">
        <v>23.46</v>
      </c>
      <c r="I132">
        <v>23.18</v>
      </c>
      <c r="K132">
        <f t="shared" si="24"/>
        <v>1886</v>
      </c>
      <c r="L132" t="s">
        <v>15</v>
      </c>
      <c r="M132" s="1">
        <f t="shared" si="25"/>
        <v>45099</v>
      </c>
      <c r="N132" t="str">
        <f t="shared" ca="1" si="26"/>
        <v>Net 45</v>
      </c>
      <c r="O132">
        <f t="shared" ca="1" si="27"/>
        <v>45</v>
      </c>
      <c r="P132" s="1">
        <f t="shared" ca="1" si="28"/>
        <v>45144</v>
      </c>
      <c r="Q132" s="1">
        <f t="shared" ca="1" si="29"/>
        <v>45144</v>
      </c>
      <c r="R132">
        <f t="shared" ca="1" si="30"/>
        <v>45</v>
      </c>
      <c r="S132" t="str">
        <f t="shared" ca="1" si="31"/>
        <v>On Time</v>
      </c>
      <c r="T132" t="str">
        <f t="shared" ca="1" si="32"/>
        <v>31-60</v>
      </c>
      <c r="U132">
        <f t="shared" ca="1" si="33"/>
        <v>0</v>
      </c>
      <c r="V132" t="str">
        <f t="shared" ca="1" si="34"/>
        <v>Efficient</v>
      </c>
      <c r="W132">
        <f t="shared" si="35"/>
        <v>43717.479999999996</v>
      </c>
    </row>
    <row r="133" spans="1:23" x14ac:dyDescent="0.35">
      <c r="A133" t="s">
        <v>158</v>
      </c>
      <c r="B133" t="s">
        <v>17</v>
      </c>
      <c r="C133" s="1">
        <v>45067</v>
      </c>
      <c r="D133" s="1">
        <v>45069</v>
      </c>
      <c r="E133" t="s">
        <v>13</v>
      </c>
      <c r="F133" t="s">
        <v>18</v>
      </c>
      <c r="G133">
        <v>114</v>
      </c>
      <c r="H133">
        <v>103.53</v>
      </c>
      <c r="I133">
        <v>101.54</v>
      </c>
      <c r="J133">
        <v>14</v>
      </c>
      <c r="K133">
        <f t="shared" si="24"/>
        <v>100</v>
      </c>
      <c r="L133" t="s">
        <v>15</v>
      </c>
      <c r="M133" s="1">
        <f t="shared" si="25"/>
        <v>45069</v>
      </c>
      <c r="N133" t="str">
        <f t="shared" ca="1" si="26"/>
        <v>Net 15</v>
      </c>
      <c r="O133">
        <f t="shared" ca="1" si="27"/>
        <v>15</v>
      </c>
      <c r="P133" s="1">
        <f t="shared" ca="1" si="28"/>
        <v>45084</v>
      </c>
      <c r="Q133" s="1">
        <f t="shared" ca="1" si="29"/>
        <v>45088</v>
      </c>
      <c r="R133">
        <f t="shared" ca="1" si="30"/>
        <v>19</v>
      </c>
      <c r="S133" t="str">
        <f t="shared" ca="1" si="31"/>
        <v>Late</v>
      </c>
      <c r="T133" t="str">
        <f t="shared" ca="1" si="32"/>
        <v>0-30</v>
      </c>
      <c r="U133">
        <f t="shared" ca="1" si="33"/>
        <v>4</v>
      </c>
      <c r="V133" t="str">
        <f t="shared" ca="1" si="34"/>
        <v>Inefficient</v>
      </c>
      <c r="W133">
        <f t="shared" si="35"/>
        <v>11575.560000000001</v>
      </c>
    </row>
    <row r="134" spans="1:23" x14ac:dyDescent="0.35">
      <c r="A134" t="s">
        <v>159</v>
      </c>
      <c r="B134" t="s">
        <v>17</v>
      </c>
      <c r="C134" s="1">
        <v>44655</v>
      </c>
      <c r="D134" s="1">
        <v>44673</v>
      </c>
      <c r="E134" t="s">
        <v>39</v>
      </c>
      <c r="F134" t="s">
        <v>14</v>
      </c>
      <c r="G134">
        <v>1930</v>
      </c>
      <c r="H134">
        <v>65.52</v>
      </c>
      <c r="I134">
        <v>56.9</v>
      </c>
      <c r="J134">
        <v>282</v>
      </c>
      <c r="K134">
        <f t="shared" si="24"/>
        <v>1648</v>
      </c>
      <c r="L134" t="s">
        <v>15</v>
      </c>
      <c r="M134" s="1">
        <f t="shared" si="25"/>
        <v>44673</v>
      </c>
      <c r="N134" t="str">
        <f t="shared" ca="1" si="26"/>
        <v>Net 45</v>
      </c>
      <c r="O134">
        <f t="shared" ca="1" si="27"/>
        <v>45</v>
      </c>
      <c r="P134" s="1">
        <f t="shared" ca="1" si="28"/>
        <v>44718</v>
      </c>
      <c r="Q134" s="1">
        <f t="shared" ca="1" si="29"/>
        <v>44721</v>
      </c>
      <c r="R134">
        <f t="shared" ca="1" si="30"/>
        <v>48</v>
      </c>
      <c r="S134" t="str">
        <f t="shared" ca="1" si="31"/>
        <v>Late</v>
      </c>
      <c r="T134" t="str">
        <f t="shared" ca="1" si="32"/>
        <v>31-60</v>
      </c>
      <c r="U134">
        <f t="shared" ca="1" si="33"/>
        <v>3</v>
      </c>
      <c r="V134" t="str">
        <f t="shared" ca="1" si="34"/>
        <v>Inefficient</v>
      </c>
      <c r="W134">
        <f t="shared" si="35"/>
        <v>109817</v>
      </c>
    </row>
    <row r="135" spans="1:23" x14ac:dyDescent="0.35">
      <c r="A135" t="s">
        <v>160</v>
      </c>
      <c r="B135" t="s">
        <v>23</v>
      </c>
      <c r="C135" s="1">
        <v>44610</v>
      </c>
      <c r="D135" s="1">
        <v>44620</v>
      </c>
      <c r="E135" t="s">
        <v>13</v>
      </c>
      <c r="F135" t="s">
        <v>35</v>
      </c>
      <c r="G135">
        <v>1912</v>
      </c>
      <c r="H135">
        <v>30.73</v>
      </c>
      <c r="I135">
        <v>29.82</v>
      </c>
      <c r="J135">
        <v>191</v>
      </c>
      <c r="K135">
        <f t="shared" si="24"/>
        <v>1721</v>
      </c>
      <c r="L135" t="s">
        <v>15</v>
      </c>
      <c r="M135" s="1">
        <f t="shared" si="25"/>
        <v>44620</v>
      </c>
      <c r="N135" t="str">
        <f t="shared" ca="1" si="26"/>
        <v>Net 15</v>
      </c>
      <c r="O135">
        <f t="shared" ca="1" si="27"/>
        <v>15</v>
      </c>
      <c r="P135" s="1">
        <f t="shared" ca="1" si="28"/>
        <v>44635</v>
      </c>
      <c r="Q135" s="1">
        <f t="shared" ca="1" si="29"/>
        <v>44635</v>
      </c>
      <c r="R135">
        <f t="shared" ca="1" si="30"/>
        <v>15</v>
      </c>
      <c r="S135" t="str">
        <f t="shared" ca="1" si="31"/>
        <v>On Time</v>
      </c>
      <c r="T135" t="str">
        <f t="shared" ca="1" si="32"/>
        <v>0-30</v>
      </c>
      <c r="U135">
        <f t="shared" ca="1" si="33"/>
        <v>0</v>
      </c>
      <c r="V135" t="str">
        <f t="shared" ca="1" si="34"/>
        <v>Efficient</v>
      </c>
      <c r="W135">
        <f t="shared" si="35"/>
        <v>57015.840000000004</v>
      </c>
    </row>
    <row r="136" spans="1:23" x14ac:dyDescent="0.35">
      <c r="A136" t="s">
        <v>161</v>
      </c>
      <c r="B136" t="s">
        <v>29</v>
      </c>
      <c r="C136" s="1">
        <v>44674</v>
      </c>
      <c r="D136" s="1">
        <v>44690</v>
      </c>
      <c r="E136" t="s">
        <v>21</v>
      </c>
      <c r="F136" t="s">
        <v>18</v>
      </c>
      <c r="G136">
        <v>570</v>
      </c>
      <c r="H136">
        <v>71.510000000000005</v>
      </c>
      <c r="I136">
        <v>66.47</v>
      </c>
      <c r="K136">
        <f t="shared" si="24"/>
        <v>570</v>
      </c>
      <c r="L136" t="s">
        <v>15</v>
      </c>
      <c r="M136" s="1">
        <f t="shared" si="25"/>
        <v>44690</v>
      </c>
      <c r="N136" t="str">
        <f t="shared" ca="1" si="26"/>
        <v>Net 15</v>
      </c>
      <c r="O136">
        <f t="shared" ca="1" si="27"/>
        <v>15</v>
      </c>
      <c r="P136" s="1">
        <f t="shared" ca="1" si="28"/>
        <v>44705</v>
      </c>
      <c r="Q136" s="1">
        <f t="shared" ca="1" si="29"/>
        <v>44712</v>
      </c>
      <c r="R136">
        <f t="shared" ca="1" si="30"/>
        <v>22</v>
      </c>
      <c r="S136" t="str">
        <f t="shared" ca="1" si="31"/>
        <v>Late</v>
      </c>
      <c r="T136" t="str">
        <f t="shared" ca="1" si="32"/>
        <v>0-30</v>
      </c>
      <c r="U136">
        <f t="shared" ca="1" si="33"/>
        <v>7</v>
      </c>
      <c r="V136" t="str">
        <f t="shared" ca="1" si="34"/>
        <v>Inefficient</v>
      </c>
      <c r="W136">
        <f t="shared" si="35"/>
        <v>37887.9</v>
      </c>
    </row>
    <row r="137" spans="1:23" x14ac:dyDescent="0.35">
      <c r="A137" t="s">
        <v>162</v>
      </c>
      <c r="B137" t="s">
        <v>23</v>
      </c>
      <c r="C137" s="1">
        <v>44718</v>
      </c>
      <c r="D137" s="1">
        <v>44738</v>
      </c>
      <c r="E137" t="s">
        <v>26</v>
      </c>
      <c r="F137" t="s">
        <v>18</v>
      </c>
      <c r="G137">
        <v>1417</v>
      </c>
      <c r="H137">
        <v>67.27</v>
      </c>
      <c r="I137">
        <v>60.62</v>
      </c>
      <c r="K137">
        <f t="shared" si="24"/>
        <v>1417</v>
      </c>
      <c r="L137" t="s">
        <v>15</v>
      </c>
      <c r="M137" s="1">
        <f t="shared" si="25"/>
        <v>44738</v>
      </c>
      <c r="N137" t="str">
        <f t="shared" ca="1" si="26"/>
        <v>Net 45</v>
      </c>
      <c r="O137">
        <f t="shared" ca="1" si="27"/>
        <v>45</v>
      </c>
      <c r="P137" s="1">
        <f t="shared" ca="1" si="28"/>
        <v>44783</v>
      </c>
      <c r="Q137" s="1">
        <f t="shared" ca="1" si="29"/>
        <v>44781</v>
      </c>
      <c r="R137">
        <f t="shared" ca="1" si="30"/>
        <v>43</v>
      </c>
      <c r="S137" t="str">
        <f t="shared" ca="1" si="31"/>
        <v>On Time</v>
      </c>
      <c r="T137" t="str">
        <f t="shared" ca="1" si="32"/>
        <v>31-60</v>
      </c>
      <c r="U137">
        <f t="shared" ca="1" si="33"/>
        <v>0</v>
      </c>
      <c r="V137" t="str">
        <f t="shared" ca="1" si="34"/>
        <v>Efficient</v>
      </c>
      <c r="W137">
        <f t="shared" si="35"/>
        <v>85898.54</v>
      </c>
    </row>
    <row r="138" spans="1:23" x14ac:dyDescent="0.35">
      <c r="A138" t="s">
        <v>163</v>
      </c>
      <c r="B138" t="s">
        <v>12</v>
      </c>
      <c r="C138" s="1">
        <v>45204</v>
      </c>
      <c r="D138" s="1">
        <v>45210</v>
      </c>
      <c r="E138" t="s">
        <v>26</v>
      </c>
      <c r="F138" t="s">
        <v>18</v>
      </c>
      <c r="G138">
        <v>1202</v>
      </c>
      <c r="H138">
        <v>46.67</v>
      </c>
      <c r="I138">
        <v>44.13</v>
      </c>
      <c r="J138">
        <v>21</v>
      </c>
      <c r="K138">
        <f t="shared" si="24"/>
        <v>1181</v>
      </c>
      <c r="L138" t="s">
        <v>27</v>
      </c>
      <c r="M138" s="1">
        <f t="shared" si="25"/>
        <v>45210</v>
      </c>
      <c r="N138" t="str">
        <f t="shared" ca="1" si="26"/>
        <v>Net 45</v>
      </c>
      <c r="O138">
        <f t="shared" ca="1" si="27"/>
        <v>45</v>
      </c>
      <c r="P138" s="1">
        <f t="shared" ca="1" si="28"/>
        <v>45255</v>
      </c>
      <c r="Q138" s="1">
        <f t="shared" ca="1" si="29"/>
        <v>45258</v>
      </c>
      <c r="R138">
        <f t="shared" ca="1" si="30"/>
        <v>48</v>
      </c>
      <c r="S138" t="str">
        <f t="shared" ca="1" si="31"/>
        <v>Late</v>
      </c>
      <c r="T138" t="str">
        <f t="shared" ca="1" si="32"/>
        <v>31-60</v>
      </c>
      <c r="U138">
        <f t="shared" ca="1" si="33"/>
        <v>3</v>
      </c>
      <c r="V138" t="str">
        <f t="shared" ca="1" si="34"/>
        <v>Inefficient</v>
      </c>
      <c r="W138">
        <f t="shared" si="35"/>
        <v>53044.26</v>
      </c>
    </row>
    <row r="139" spans="1:23" x14ac:dyDescent="0.35">
      <c r="A139" t="s">
        <v>164</v>
      </c>
      <c r="B139" t="s">
        <v>23</v>
      </c>
      <c r="C139" s="1">
        <v>44725</v>
      </c>
      <c r="D139" s="1">
        <v>44726</v>
      </c>
      <c r="E139" t="s">
        <v>13</v>
      </c>
      <c r="F139" t="s">
        <v>18</v>
      </c>
      <c r="G139">
        <v>697</v>
      </c>
      <c r="H139">
        <v>20.73</v>
      </c>
      <c r="I139">
        <v>19.829999999999998</v>
      </c>
      <c r="J139">
        <v>78</v>
      </c>
      <c r="K139">
        <f t="shared" si="24"/>
        <v>619</v>
      </c>
      <c r="L139" t="s">
        <v>27</v>
      </c>
      <c r="M139" s="1">
        <f t="shared" si="25"/>
        <v>44726</v>
      </c>
      <c r="N139" t="str">
        <f t="shared" ca="1" si="26"/>
        <v>Net 45</v>
      </c>
      <c r="O139">
        <f t="shared" ca="1" si="27"/>
        <v>45</v>
      </c>
      <c r="P139" s="1">
        <f t="shared" ca="1" si="28"/>
        <v>44771</v>
      </c>
      <c r="Q139" s="1">
        <f t="shared" ca="1" si="29"/>
        <v>44771</v>
      </c>
      <c r="R139">
        <f t="shared" ca="1" si="30"/>
        <v>45</v>
      </c>
      <c r="S139" t="str">
        <f t="shared" ca="1" si="31"/>
        <v>On Time</v>
      </c>
      <c r="T139" t="str">
        <f t="shared" ca="1" si="32"/>
        <v>31-60</v>
      </c>
      <c r="U139">
        <f t="shared" ca="1" si="33"/>
        <v>0</v>
      </c>
      <c r="V139" t="str">
        <f t="shared" ca="1" si="34"/>
        <v>Efficient</v>
      </c>
      <c r="W139">
        <f t="shared" si="35"/>
        <v>13821.509999999998</v>
      </c>
    </row>
    <row r="140" spans="1:23" x14ac:dyDescent="0.35">
      <c r="A140" t="s">
        <v>165</v>
      </c>
      <c r="B140" t="s">
        <v>29</v>
      </c>
      <c r="C140" s="1">
        <v>45258</v>
      </c>
      <c r="D140" s="1">
        <v>45261</v>
      </c>
      <c r="E140" t="s">
        <v>21</v>
      </c>
      <c r="F140" t="s">
        <v>18</v>
      </c>
      <c r="G140">
        <v>1545</v>
      </c>
      <c r="H140">
        <v>78.19</v>
      </c>
      <c r="I140">
        <v>76.91</v>
      </c>
      <c r="J140">
        <v>42</v>
      </c>
      <c r="K140">
        <f t="shared" si="24"/>
        <v>1503</v>
      </c>
      <c r="L140" t="s">
        <v>15</v>
      </c>
      <c r="M140" s="1">
        <f t="shared" si="25"/>
        <v>45261</v>
      </c>
      <c r="N140" t="str">
        <f t="shared" ca="1" si="26"/>
        <v>Net 15</v>
      </c>
      <c r="O140">
        <f t="shared" ca="1" si="27"/>
        <v>15</v>
      </c>
      <c r="P140" s="1">
        <f t="shared" ca="1" si="28"/>
        <v>45276</v>
      </c>
      <c r="Q140" s="1">
        <f t="shared" ca="1" si="29"/>
        <v>45271</v>
      </c>
      <c r="R140">
        <f t="shared" ca="1" si="30"/>
        <v>10</v>
      </c>
      <c r="S140" t="str">
        <f t="shared" ca="1" si="31"/>
        <v>On Time</v>
      </c>
      <c r="T140" t="str">
        <f t="shared" ca="1" si="32"/>
        <v>0-30</v>
      </c>
      <c r="U140">
        <f t="shared" ca="1" si="33"/>
        <v>0</v>
      </c>
      <c r="V140" t="str">
        <f t="shared" ca="1" si="34"/>
        <v>Efficient</v>
      </c>
      <c r="W140">
        <f t="shared" si="35"/>
        <v>118825.95</v>
      </c>
    </row>
    <row r="141" spans="1:23" x14ac:dyDescent="0.35">
      <c r="A141" t="s">
        <v>166</v>
      </c>
      <c r="B141" t="s">
        <v>20</v>
      </c>
      <c r="C141" s="1">
        <v>44994</v>
      </c>
      <c r="D141" s="1">
        <v>44998</v>
      </c>
      <c r="E141" t="s">
        <v>21</v>
      </c>
      <c r="F141" t="s">
        <v>33</v>
      </c>
      <c r="G141">
        <v>1136</v>
      </c>
      <c r="H141">
        <v>60.81</v>
      </c>
      <c r="I141">
        <v>58.25</v>
      </c>
      <c r="J141">
        <v>62</v>
      </c>
      <c r="K141">
        <f t="shared" si="24"/>
        <v>1074</v>
      </c>
      <c r="L141" t="s">
        <v>15</v>
      </c>
      <c r="M141" s="1">
        <f t="shared" si="25"/>
        <v>44998</v>
      </c>
      <c r="N141" t="str">
        <f t="shared" ca="1" si="26"/>
        <v>Net 30</v>
      </c>
      <c r="O141">
        <f t="shared" ca="1" si="27"/>
        <v>30</v>
      </c>
      <c r="P141" s="1">
        <f t="shared" ca="1" si="28"/>
        <v>45028</v>
      </c>
      <c r="Q141" s="1">
        <f t="shared" ca="1" si="29"/>
        <v>45023</v>
      </c>
      <c r="R141">
        <f t="shared" ca="1" si="30"/>
        <v>25</v>
      </c>
      <c r="S141" t="str">
        <f t="shared" ca="1" si="31"/>
        <v>On Time</v>
      </c>
      <c r="T141" t="str">
        <f t="shared" ca="1" si="32"/>
        <v>0-30</v>
      </c>
      <c r="U141">
        <f t="shared" ca="1" si="33"/>
        <v>0</v>
      </c>
      <c r="V141" t="str">
        <f t="shared" ca="1" si="34"/>
        <v>Efficient</v>
      </c>
      <c r="W141">
        <f t="shared" si="35"/>
        <v>66172</v>
      </c>
    </row>
    <row r="142" spans="1:23" x14ac:dyDescent="0.35">
      <c r="A142" t="s">
        <v>167</v>
      </c>
      <c r="B142" t="s">
        <v>23</v>
      </c>
      <c r="C142" s="1">
        <v>45172</v>
      </c>
      <c r="D142" s="1">
        <v>45176</v>
      </c>
      <c r="E142" t="s">
        <v>21</v>
      </c>
      <c r="F142" t="s">
        <v>18</v>
      </c>
      <c r="G142">
        <v>1212</v>
      </c>
      <c r="H142">
        <v>87.46</v>
      </c>
      <c r="I142">
        <v>74.55</v>
      </c>
      <c r="J142">
        <v>118</v>
      </c>
      <c r="K142">
        <f t="shared" si="24"/>
        <v>1094</v>
      </c>
      <c r="L142" t="s">
        <v>27</v>
      </c>
      <c r="M142" s="1">
        <f t="shared" si="25"/>
        <v>45176</v>
      </c>
      <c r="N142" t="str">
        <f t="shared" ca="1" si="26"/>
        <v>Net 45</v>
      </c>
      <c r="O142">
        <f t="shared" ca="1" si="27"/>
        <v>45</v>
      </c>
      <c r="P142" s="1">
        <f t="shared" ca="1" si="28"/>
        <v>45221</v>
      </c>
      <c r="Q142" s="1">
        <f t="shared" ca="1" si="29"/>
        <v>45236</v>
      </c>
      <c r="R142">
        <f t="shared" ca="1" si="30"/>
        <v>60</v>
      </c>
      <c r="S142" t="str">
        <f t="shared" ca="1" si="31"/>
        <v>Late</v>
      </c>
      <c r="T142" t="str">
        <f t="shared" ca="1" si="32"/>
        <v>31-60</v>
      </c>
      <c r="U142">
        <f t="shared" ca="1" si="33"/>
        <v>15</v>
      </c>
      <c r="V142" t="str">
        <f t="shared" ca="1" si="34"/>
        <v>Inefficient</v>
      </c>
      <c r="W142">
        <f t="shared" si="35"/>
        <v>90354.599999999991</v>
      </c>
    </row>
    <row r="143" spans="1:23" x14ac:dyDescent="0.35">
      <c r="A143" t="s">
        <v>168</v>
      </c>
      <c r="B143" t="s">
        <v>29</v>
      </c>
      <c r="C143" s="1">
        <v>44627</v>
      </c>
      <c r="D143" s="1">
        <v>44632</v>
      </c>
      <c r="E143" t="s">
        <v>21</v>
      </c>
      <c r="F143" t="s">
        <v>18</v>
      </c>
      <c r="G143">
        <v>1572</v>
      </c>
      <c r="H143">
        <v>57.38</v>
      </c>
      <c r="I143">
        <v>49.32</v>
      </c>
      <c r="J143">
        <v>40</v>
      </c>
      <c r="K143">
        <f t="shared" si="24"/>
        <v>1532</v>
      </c>
      <c r="L143" t="s">
        <v>15</v>
      </c>
      <c r="M143" s="1">
        <f t="shared" si="25"/>
        <v>44632</v>
      </c>
      <c r="N143" t="str">
        <f t="shared" ca="1" si="26"/>
        <v>Net 15</v>
      </c>
      <c r="O143">
        <f t="shared" ca="1" si="27"/>
        <v>15</v>
      </c>
      <c r="P143" s="1">
        <f t="shared" ca="1" si="28"/>
        <v>44647</v>
      </c>
      <c r="Q143" s="1">
        <f t="shared" ca="1" si="29"/>
        <v>44649</v>
      </c>
      <c r="R143">
        <f t="shared" ca="1" si="30"/>
        <v>17</v>
      </c>
      <c r="S143" t="str">
        <f t="shared" ca="1" si="31"/>
        <v>Late</v>
      </c>
      <c r="T143" t="str">
        <f t="shared" ca="1" si="32"/>
        <v>0-30</v>
      </c>
      <c r="U143">
        <f t="shared" ca="1" si="33"/>
        <v>2</v>
      </c>
      <c r="V143" t="str">
        <f t="shared" ca="1" si="34"/>
        <v>Inefficient</v>
      </c>
      <c r="W143">
        <f t="shared" si="35"/>
        <v>77531.039999999994</v>
      </c>
    </row>
    <row r="144" spans="1:23" x14ac:dyDescent="0.35">
      <c r="A144" t="s">
        <v>169</v>
      </c>
      <c r="B144" t="s">
        <v>20</v>
      </c>
      <c r="C144" s="1">
        <v>44956</v>
      </c>
      <c r="D144" s="1">
        <v>44966</v>
      </c>
      <c r="E144" t="s">
        <v>39</v>
      </c>
      <c r="F144" t="s">
        <v>18</v>
      </c>
      <c r="G144">
        <v>642</v>
      </c>
      <c r="H144">
        <v>91.9</v>
      </c>
      <c r="I144">
        <v>81.489999999999995</v>
      </c>
      <c r="J144">
        <v>26</v>
      </c>
      <c r="K144">
        <f t="shared" si="24"/>
        <v>616</v>
      </c>
      <c r="L144" t="s">
        <v>15</v>
      </c>
      <c r="M144" s="1">
        <f t="shared" si="25"/>
        <v>44966</v>
      </c>
      <c r="N144" t="str">
        <f t="shared" ca="1" si="26"/>
        <v>Net 30</v>
      </c>
      <c r="O144">
        <f t="shared" ca="1" si="27"/>
        <v>30</v>
      </c>
      <c r="P144" s="1">
        <f t="shared" ca="1" si="28"/>
        <v>44996</v>
      </c>
      <c r="Q144" s="1">
        <f t="shared" ca="1" si="29"/>
        <v>45016</v>
      </c>
      <c r="R144">
        <f t="shared" ca="1" si="30"/>
        <v>50</v>
      </c>
      <c r="S144" t="str">
        <f t="shared" ca="1" si="31"/>
        <v>Late</v>
      </c>
      <c r="T144" t="str">
        <f t="shared" ca="1" si="32"/>
        <v>31-60</v>
      </c>
      <c r="U144">
        <f t="shared" ca="1" si="33"/>
        <v>20</v>
      </c>
      <c r="V144" t="str">
        <f t="shared" ca="1" si="34"/>
        <v>Inefficient</v>
      </c>
      <c r="W144">
        <f t="shared" si="35"/>
        <v>52316.579999999994</v>
      </c>
    </row>
    <row r="145" spans="1:23" x14ac:dyDescent="0.35">
      <c r="A145" t="s">
        <v>170</v>
      </c>
      <c r="B145" t="s">
        <v>29</v>
      </c>
      <c r="C145" s="1">
        <v>44952</v>
      </c>
      <c r="D145" s="1">
        <v>44961</v>
      </c>
      <c r="E145" t="s">
        <v>13</v>
      </c>
      <c r="F145" t="s">
        <v>18</v>
      </c>
      <c r="G145">
        <v>441</v>
      </c>
      <c r="H145">
        <v>63.25</v>
      </c>
      <c r="I145">
        <v>54.12</v>
      </c>
      <c r="J145">
        <v>16</v>
      </c>
      <c r="K145">
        <f t="shared" si="24"/>
        <v>425</v>
      </c>
      <c r="L145" t="s">
        <v>15</v>
      </c>
      <c r="M145" s="1">
        <f t="shared" si="25"/>
        <v>44961</v>
      </c>
      <c r="N145" t="str">
        <f t="shared" ca="1" si="26"/>
        <v>Net 30</v>
      </c>
      <c r="O145">
        <f t="shared" ca="1" si="27"/>
        <v>30</v>
      </c>
      <c r="P145" s="1">
        <f t="shared" ca="1" si="28"/>
        <v>44991</v>
      </c>
      <c r="Q145" s="1">
        <f t="shared" ca="1" si="29"/>
        <v>45003</v>
      </c>
      <c r="R145">
        <f t="shared" ca="1" si="30"/>
        <v>42</v>
      </c>
      <c r="S145" t="str">
        <f t="shared" ca="1" si="31"/>
        <v>Late</v>
      </c>
      <c r="T145" t="str">
        <f t="shared" ca="1" si="32"/>
        <v>31-60</v>
      </c>
      <c r="U145">
        <f t="shared" ca="1" si="33"/>
        <v>12</v>
      </c>
      <c r="V145" t="str">
        <f t="shared" ca="1" si="34"/>
        <v>Inefficient</v>
      </c>
      <c r="W145">
        <f t="shared" si="35"/>
        <v>23866.92</v>
      </c>
    </row>
    <row r="146" spans="1:23" x14ac:dyDescent="0.35">
      <c r="A146" t="s">
        <v>171</v>
      </c>
      <c r="B146" t="s">
        <v>29</v>
      </c>
      <c r="C146" s="1">
        <v>45172</v>
      </c>
      <c r="D146" s="1">
        <v>45188</v>
      </c>
      <c r="E146" t="s">
        <v>13</v>
      </c>
      <c r="F146" t="s">
        <v>18</v>
      </c>
      <c r="G146">
        <v>1748</v>
      </c>
      <c r="H146">
        <v>66.53</v>
      </c>
      <c r="I146">
        <v>57.11</v>
      </c>
      <c r="K146">
        <f t="shared" si="24"/>
        <v>1748</v>
      </c>
      <c r="L146" t="s">
        <v>15</v>
      </c>
      <c r="M146" s="1">
        <f t="shared" si="25"/>
        <v>45188</v>
      </c>
      <c r="N146" t="str">
        <f t="shared" ca="1" si="26"/>
        <v>Net 15</v>
      </c>
      <c r="O146">
        <f t="shared" ca="1" si="27"/>
        <v>15</v>
      </c>
      <c r="P146" s="1">
        <f t="shared" ca="1" si="28"/>
        <v>45203</v>
      </c>
      <c r="Q146" s="1">
        <f t="shared" ca="1" si="29"/>
        <v>45203</v>
      </c>
      <c r="R146">
        <f t="shared" ca="1" si="30"/>
        <v>15</v>
      </c>
      <c r="S146" t="str">
        <f t="shared" ca="1" si="31"/>
        <v>On Time</v>
      </c>
      <c r="T146" t="str">
        <f t="shared" ca="1" si="32"/>
        <v>0-30</v>
      </c>
      <c r="U146">
        <f t="shared" ca="1" si="33"/>
        <v>0</v>
      </c>
      <c r="V146" t="str">
        <f t="shared" ca="1" si="34"/>
        <v>Efficient</v>
      </c>
      <c r="W146">
        <f t="shared" si="35"/>
        <v>99828.28</v>
      </c>
    </row>
    <row r="147" spans="1:23" x14ac:dyDescent="0.35">
      <c r="A147" t="s">
        <v>172</v>
      </c>
      <c r="B147" t="s">
        <v>20</v>
      </c>
      <c r="C147" s="1">
        <v>45041</v>
      </c>
      <c r="E147" t="s">
        <v>39</v>
      </c>
      <c r="F147" t="s">
        <v>35</v>
      </c>
      <c r="G147">
        <v>468</v>
      </c>
      <c r="H147">
        <v>95.57</v>
      </c>
      <c r="I147">
        <v>91.8</v>
      </c>
      <c r="J147">
        <v>24</v>
      </c>
      <c r="K147">
        <f t="shared" si="24"/>
        <v>444</v>
      </c>
      <c r="L147" t="s">
        <v>15</v>
      </c>
      <c r="M147" s="1">
        <f t="shared" si="25"/>
        <v>0</v>
      </c>
      <c r="N147" t="str">
        <f t="shared" ca="1" si="26"/>
        <v>Net 45</v>
      </c>
      <c r="O147">
        <f t="shared" ca="1" si="27"/>
        <v>45</v>
      </c>
      <c r="P147" s="1">
        <f t="shared" ca="1" si="28"/>
        <v>45</v>
      </c>
      <c r="Q147" s="1">
        <f t="shared" ca="1" si="29"/>
        <v>61</v>
      </c>
      <c r="R147">
        <f t="shared" ca="1" si="30"/>
        <v>61</v>
      </c>
      <c r="S147" t="str">
        <f t="shared" ca="1" si="31"/>
        <v>Late</v>
      </c>
      <c r="T147" t="str">
        <f t="shared" ca="1" si="32"/>
        <v>61-90</v>
      </c>
      <c r="U147">
        <f t="shared" ca="1" si="33"/>
        <v>16</v>
      </c>
      <c r="V147" t="str">
        <f t="shared" ca="1" si="34"/>
        <v>Inefficient</v>
      </c>
      <c r="W147">
        <f t="shared" si="35"/>
        <v>42962.400000000001</v>
      </c>
    </row>
    <row r="148" spans="1:23" x14ac:dyDescent="0.35">
      <c r="A148" t="s">
        <v>173</v>
      </c>
      <c r="B148" t="s">
        <v>23</v>
      </c>
      <c r="C148" s="1">
        <v>45103</v>
      </c>
      <c r="D148" s="1">
        <v>45121</v>
      </c>
      <c r="E148" t="s">
        <v>26</v>
      </c>
      <c r="F148" t="s">
        <v>18</v>
      </c>
      <c r="G148">
        <v>338</v>
      </c>
      <c r="H148">
        <v>50.25</v>
      </c>
      <c r="I148">
        <v>46.28</v>
      </c>
      <c r="J148">
        <v>49</v>
      </c>
      <c r="K148">
        <f t="shared" si="24"/>
        <v>289</v>
      </c>
      <c r="L148" t="s">
        <v>27</v>
      </c>
      <c r="M148" s="1">
        <f t="shared" si="25"/>
        <v>45121</v>
      </c>
      <c r="N148" t="str">
        <f t="shared" ca="1" si="26"/>
        <v>Net 30</v>
      </c>
      <c r="O148">
        <f t="shared" ca="1" si="27"/>
        <v>30</v>
      </c>
      <c r="P148" s="1">
        <f t="shared" ca="1" si="28"/>
        <v>45151</v>
      </c>
      <c r="Q148" s="1">
        <f t="shared" ca="1" si="29"/>
        <v>45164</v>
      </c>
      <c r="R148">
        <f t="shared" ca="1" si="30"/>
        <v>43</v>
      </c>
      <c r="S148" t="str">
        <f t="shared" ca="1" si="31"/>
        <v>Late</v>
      </c>
      <c r="T148" t="str">
        <f t="shared" ca="1" si="32"/>
        <v>31-60</v>
      </c>
      <c r="U148">
        <f t="shared" ca="1" si="33"/>
        <v>13</v>
      </c>
      <c r="V148" t="str">
        <f t="shared" ca="1" si="34"/>
        <v>Inefficient</v>
      </c>
      <c r="W148">
        <f t="shared" si="35"/>
        <v>15642.640000000001</v>
      </c>
    </row>
    <row r="149" spans="1:23" x14ac:dyDescent="0.35">
      <c r="A149" t="s">
        <v>174</v>
      </c>
      <c r="B149" t="s">
        <v>20</v>
      </c>
      <c r="C149" s="1">
        <v>44819</v>
      </c>
      <c r="D149" s="1">
        <v>44826</v>
      </c>
      <c r="E149" t="s">
        <v>13</v>
      </c>
      <c r="F149" t="s">
        <v>18</v>
      </c>
      <c r="G149">
        <v>428</v>
      </c>
      <c r="H149">
        <v>22.94</v>
      </c>
      <c r="I149">
        <v>21.52</v>
      </c>
      <c r="J149">
        <v>26</v>
      </c>
      <c r="K149">
        <f t="shared" si="24"/>
        <v>402</v>
      </c>
      <c r="L149" t="s">
        <v>15</v>
      </c>
      <c r="M149" s="1">
        <f t="shared" si="25"/>
        <v>44826</v>
      </c>
      <c r="N149" t="str">
        <f t="shared" ca="1" si="26"/>
        <v>Net 15</v>
      </c>
      <c r="O149">
        <f t="shared" ca="1" si="27"/>
        <v>15</v>
      </c>
      <c r="P149" s="1">
        <f t="shared" ca="1" si="28"/>
        <v>44841</v>
      </c>
      <c r="Q149" s="1">
        <f t="shared" ca="1" si="29"/>
        <v>44849</v>
      </c>
      <c r="R149">
        <f t="shared" ca="1" si="30"/>
        <v>23</v>
      </c>
      <c r="S149" t="str">
        <f t="shared" ca="1" si="31"/>
        <v>Late</v>
      </c>
      <c r="T149" t="str">
        <f t="shared" ca="1" si="32"/>
        <v>0-30</v>
      </c>
      <c r="U149">
        <f t="shared" ca="1" si="33"/>
        <v>8</v>
      </c>
      <c r="V149" t="str">
        <f t="shared" ca="1" si="34"/>
        <v>Inefficient</v>
      </c>
      <c r="W149">
        <f t="shared" si="35"/>
        <v>9210.56</v>
      </c>
    </row>
    <row r="150" spans="1:23" x14ac:dyDescent="0.35">
      <c r="A150" t="s">
        <v>175</v>
      </c>
      <c r="B150" t="s">
        <v>23</v>
      </c>
      <c r="C150" s="1">
        <v>45128</v>
      </c>
      <c r="E150" t="s">
        <v>24</v>
      </c>
      <c r="F150" t="s">
        <v>18</v>
      </c>
      <c r="G150">
        <v>1846</v>
      </c>
      <c r="H150">
        <v>13.72</v>
      </c>
      <c r="I150">
        <v>12.62</v>
      </c>
      <c r="J150">
        <v>216</v>
      </c>
      <c r="K150">
        <f t="shared" si="24"/>
        <v>1630</v>
      </c>
      <c r="L150" t="s">
        <v>15</v>
      </c>
      <c r="M150" s="1">
        <f t="shared" si="25"/>
        <v>0</v>
      </c>
      <c r="N150" t="str">
        <f t="shared" ca="1" si="26"/>
        <v>Net 15</v>
      </c>
      <c r="O150">
        <f t="shared" ca="1" si="27"/>
        <v>15</v>
      </c>
      <c r="P150" s="1">
        <f t="shared" ca="1" si="28"/>
        <v>15</v>
      </c>
      <c r="Q150" s="1">
        <f t="shared" ca="1" si="29"/>
        <v>27</v>
      </c>
      <c r="R150">
        <f t="shared" ca="1" si="30"/>
        <v>27</v>
      </c>
      <c r="S150" t="str">
        <f t="shared" ca="1" si="31"/>
        <v>Late</v>
      </c>
      <c r="T150" t="str">
        <f t="shared" ca="1" si="32"/>
        <v>0-30</v>
      </c>
      <c r="U150">
        <f t="shared" ca="1" si="33"/>
        <v>12</v>
      </c>
      <c r="V150" t="str">
        <f t="shared" ca="1" si="34"/>
        <v>Inefficient</v>
      </c>
      <c r="W150">
        <f t="shared" si="35"/>
        <v>23296.519999999997</v>
      </c>
    </row>
    <row r="151" spans="1:23" x14ac:dyDescent="0.35">
      <c r="A151" t="s">
        <v>176</v>
      </c>
      <c r="B151" t="s">
        <v>29</v>
      </c>
      <c r="C151" s="1">
        <v>44573</v>
      </c>
      <c r="D151" s="1">
        <v>44578</v>
      </c>
      <c r="E151" t="s">
        <v>13</v>
      </c>
      <c r="F151" t="s">
        <v>18</v>
      </c>
      <c r="G151">
        <v>1563</v>
      </c>
      <c r="H151">
        <v>77.959999999999994</v>
      </c>
      <c r="I151">
        <v>70.8</v>
      </c>
      <c r="J151">
        <v>41</v>
      </c>
      <c r="K151">
        <f t="shared" si="24"/>
        <v>1522</v>
      </c>
      <c r="L151" t="s">
        <v>15</v>
      </c>
      <c r="M151" s="1">
        <f t="shared" si="25"/>
        <v>44578</v>
      </c>
      <c r="N151" t="str">
        <f t="shared" ca="1" si="26"/>
        <v>Net 15</v>
      </c>
      <c r="O151">
        <f t="shared" ca="1" si="27"/>
        <v>15</v>
      </c>
      <c r="P151" s="1">
        <f t="shared" ca="1" si="28"/>
        <v>44593</v>
      </c>
      <c r="Q151" s="1">
        <f t="shared" ca="1" si="29"/>
        <v>44602</v>
      </c>
      <c r="R151">
        <f t="shared" ca="1" si="30"/>
        <v>24</v>
      </c>
      <c r="S151" t="str">
        <f t="shared" ca="1" si="31"/>
        <v>Late</v>
      </c>
      <c r="T151" t="str">
        <f t="shared" ca="1" si="32"/>
        <v>0-30</v>
      </c>
      <c r="U151">
        <f t="shared" ca="1" si="33"/>
        <v>9</v>
      </c>
      <c r="V151" t="str">
        <f t="shared" ca="1" si="34"/>
        <v>Inefficient</v>
      </c>
      <c r="W151">
        <f t="shared" si="35"/>
        <v>110660.4</v>
      </c>
    </row>
    <row r="152" spans="1:23" x14ac:dyDescent="0.35">
      <c r="A152" t="s">
        <v>177</v>
      </c>
      <c r="B152" t="s">
        <v>23</v>
      </c>
      <c r="C152" s="1">
        <v>45258</v>
      </c>
      <c r="D152" s="1">
        <v>45267</v>
      </c>
      <c r="E152" t="s">
        <v>13</v>
      </c>
      <c r="F152" t="s">
        <v>18</v>
      </c>
      <c r="G152">
        <v>280</v>
      </c>
      <c r="H152">
        <v>73.069999999999993</v>
      </c>
      <c r="I152">
        <v>69.290000000000006</v>
      </c>
      <c r="J152">
        <v>30</v>
      </c>
      <c r="K152">
        <f t="shared" si="24"/>
        <v>250</v>
      </c>
      <c r="L152" t="s">
        <v>15</v>
      </c>
      <c r="M152" s="1">
        <f t="shared" si="25"/>
        <v>45267</v>
      </c>
      <c r="N152" t="str">
        <f t="shared" ca="1" si="26"/>
        <v>Net 15</v>
      </c>
      <c r="O152">
        <f t="shared" ca="1" si="27"/>
        <v>15</v>
      </c>
      <c r="P152" s="1">
        <f t="shared" ca="1" si="28"/>
        <v>45282</v>
      </c>
      <c r="Q152" s="1">
        <f t="shared" ca="1" si="29"/>
        <v>45281</v>
      </c>
      <c r="R152">
        <f t="shared" ca="1" si="30"/>
        <v>14</v>
      </c>
      <c r="S152" t="str">
        <f t="shared" ca="1" si="31"/>
        <v>On Time</v>
      </c>
      <c r="T152" t="str">
        <f t="shared" ca="1" si="32"/>
        <v>0-30</v>
      </c>
      <c r="U152">
        <f t="shared" ca="1" si="33"/>
        <v>0</v>
      </c>
      <c r="V152" t="str">
        <f t="shared" ca="1" si="34"/>
        <v>Efficient</v>
      </c>
      <c r="W152">
        <f t="shared" si="35"/>
        <v>19401.2</v>
      </c>
    </row>
    <row r="153" spans="1:23" x14ac:dyDescent="0.35">
      <c r="A153" t="s">
        <v>178</v>
      </c>
      <c r="B153" t="s">
        <v>17</v>
      </c>
      <c r="C153" s="1">
        <v>44679</v>
      </c>
      <c r="D153" s="1">
        <v>44693</v>
      </c>
      <c r="E153" t="s">
        <v>26</v>
      </c>
      <c r="F153" t="s">
        <v>18</v>
      </c>
      <c r="G153">
        <v>1067</v>
      </c>
      <c r="H153">
        <v>74.47</v>
      </c>
      <c r="I153">
        <v>64.16</v>
      </c>
      <c r="K153">
        <f t="shared" si="24"/>
        <v>1067</v>
      </c>
      <c r="L153" t="s">
        <v>27</v>
      </c>
      <c r="M153" s="1">
        <f t="shared" si="25"/>
        <v>44693</v>
      </c>
      <c r="N153" t="str">
        <f t="shared" ca="1" si="26"/>
        <v>Net 30</v>
      </c>
      <c r="O153">
        <f t="shared" ca="1" si="27"/>
        <v>30</v>
      </c>
      <c r="P153" s="1">
        <f t="shared" ca="1" si="28"/>
        <v>44723</v>
      </c>
      <c r="Q153" s="1">
        <f t="shared" ca="1" si="29"/>
        <v>44729</v>
      </c>
      <c r="R153">
        <f t="shared" ca="1" si="30"/>
        <v>36</v>
      </c>
      <c r="S153" t="str">
        <f t="shared" ca="1" si="31"/>
        <v>Late</v>
      </c>
      <c r="T153" t="str">
        <f t="shared" ca="1" si="32"/>
        <v>31-60</v>
      </c>
      <c r="U153">
        <f t="shared" ca="1" si="33"/>
        <v>6</v>
      </c>
      <c r="V153" t="str">
        <f t="shared" ca="1" si="34"/>
        <v>Inefficient</v>
      </c>
      <c r="W153">
        <f t="shared" si="35"/>
        <v>68458.720000000001</v>
      </c>
    </row>
    <row r="154" spans="1:23" x14ac:dyDescent="0.35">
      <c r="A154" t="s">
        <v>179</v>
      </c>
      <c r="B154" t="s">
        <v>20</v>
      </c>
      <c r="C154" s="1">
        <v>45260</v>
      </c>
      <c r="D154" s="1">
        <v>45277</v>
      </c>
      <c r="E154" t="s">
        <v>39</v>
      </c>
      <c r="F154" t="s">
        <v>35</v>
      </c>
      <c r="G154">
        <v>90</v>
      </c>
      <c r="H154">
        <v>32.380000000000003</v>
      </c>
      <c r="I154">
        <v>29.96</v>
      </c>
      <c r="J154">
        <v>7</v>
      </c>
      <c r="K154">
        <f t="shared" si="24"/>
        <v>83</v>
      </c>
      <c r="L154" t="s">
        <v>15</v>
      </c>
      <c r="M154" s="1">
        <f t="shared" si="25"/>
        <v>45277</v>
      </c>
      <c r="N154" t="str">
        <f t="shared" ca="1" si="26"/>
        <v>Net 15</v>
      </c>
      <c r="O154">
        <f t="shared" ca="1" si="27"/>
        <v>15</v>
      </c>
      <c r="P154" s="1">
        <f t="shared" ca="1" si="28"/>
        <v>45292</v>
      </c>
      <c r="Q154" s="1">
        <f t="shared" ca="1" si="29"/>
        <v>45297</v>
      </c>
      <c r="R154">
        <f t="shared" ca="1" si="30"/>
        <v>20</v>
      </c>
      <c r="S154" t="str">
        <f t="shared" ca="1" si="31"/>
        <v>Late</v>
      </c>
      <c r="T154" t="str">
        <f t="shared" ca="1" si="32"/>
        <v>0-30</v>
      </c>
      <c r="U154">
        <f t="shared" ca="1" si="33"/>
        <v>5</v>
      </c>
      <c r="V154" t="str">
        <f t="shared" ca="1" si="34"/>
        <v>Inefficient</v>
      </c>
      <c r="W154">
        <f t="shared" si="35"/>
        <v>2696.4</v>
      </c>
    </row>
    <row r="155" spans="1:23" x14ac:dyDescent="0.35">
      <c r="A155" t="s">
        <v>180</v>
      </c>
      <c r="B155" t="s">
        <v>20</v>
      </c>
      <c r="C155" s="1">
        <v>45111</v>
      </c>
      <c r="D155" s="1">
        <v>45112</v>
      </c>
      <c r="E155" t="s">
        <v>26</v>
      </c>
      <c r="F155" t="s">
        <v>18</v>
      </c>
      <c r="G155">
        <v>1101</v>
      </c>
      <c r="H155">
        <v>24.28</v>
      </c>
      <c r="I155">
        <v>22.73</v>
      </c>
      <c r="J155">
        <v>59</v>
      </c>
      <c r="K155">
        <f t="shared" si="24"/>
        <v>1042</v>
      </c>
      <c r="L155" t="s">
        <v>27</v>
      </c>
      <c r="M155" s="1">
        <f t="shared" si="25"/>
        <v>45112</v>
      </c>
      <c r="N155" t="str">
        <f t="shared" ca="1" si="26"/>
        <v>Net 15</v>
      </c>
      <c r="O155">
        <f t="shared" ca="1" si="27"/>
        <v>15</v>
      </c>
      <c r="P155" s="1">
        <f t="shared" ca="1" si="28"/>
        <v>45127</v>
      </c>
      <c r="Q155" s="1">
        <f t="shared" ca="1" si="29"/>
        <v>45138</v>
      </c>
      <c r="R155">
        <f t="shared" ca="1" si="30"/>
        <v>26</v>
      </c>
      <c r="S155" t="str">
        <f t="shared" ca="1" si="31"/>
        <v>Late</v>
      </c>
      <c r="T155" t="str">
        <f t="shared" ca="1" si="32"/>
        <v>0-30</v>
      </c>
      <c r="U155">
        <f t="shared" ca="1" si="33"/>
        <v>11</v>
      </c>
      <c r="V155" t="str">
        <f t="shared" ca="1" si="34"/>
        <v>Inefficient</v>
      </c>
      <c r="W155">
        <f t="shared" si="35"/>
        <v>25025.73</v>
      </c>
    </row>
    <row r="156" spans="1:23" x14ac:dyDescent="0.35">
      <c r="A156" t="s">
        <v>181</v>
      </c>
      <c r="B156" t="s">
        <v>12</v>
      </c>
      <c r="C156" s="1">
        <v>44835</v>
      </c>
      <c r="D156" s="1">
        <v>44845</v>
      </c>
      <c r="E156" t="s">
        <v>26</v>
      </c>
      <c r="F156" t="s">
        <v>18</v>
      </c>
      <c r="G156">
        <v>184</v>
      </c>
      <c r="H156">
        <v>11.82</v>
      </c>
      <c r="I156">
        <v>10.51</v>
      </c>
      <c r="J156">
        <v>4</v>
      </c>
      <c r="K156">
        <f t="shared" si="24"/>
        <v>180</v>
      </c>
      <c r="L156" t="s">
        <v>15</v>
      </c>
      <c r="M156" s="1">
        <f t="shared" si="25"/>
        <v>44845</v>
      </c>
      <c r="N156" t="str">
        <f t="shared" ca="1" si="26"/>
        <v>Net 15</v>
      </c>
      <c r="O156">
        <f t="shared" ca="1" si="27"/>
        <v>15</v>
      </c>
      <c r="P156" s="1">
        <f t="shared" ca="1" si="28"/>
        <v>44860</v>
      </c>
      <c r="Q156" s="1">
        <f t="shared" ca="1" si="29"/>
        <v>44862</v>
      </c>
      <c r="R156">
        <f t="shared" ca="1" si="30"/>
        <v>17</v>
      </c>
      <c r="S156" t="str">
        <f t="shared" ca="1" si="31"/>
        <v>Late</v>
      </c>
      <c r="T156" t="str">
        <f t="shared" ca="1" si="32"/>
        <v>0-30</v>
      </c>
      <c r="U156">
        <f t="shared" ca="1" si="33"/>
        <v>2</v>
      </c>
      <c r="V156" t="str">
        <f t="shared" ca="1" si="34"/>
        <v>Inefficient</v>
      </c>
      <c r="W156">
        <f t="shared" si="35"/>
        <v>1933.84</v>
      </c>
    </row>
    <row r="157" spans="1:23" x14ac:dyDescent="0.35">
      <c r="A157" t="s">
        <v>182</v>
      </c>
      <c r="B157" t="s">
        <v>29</v>
      </c>
      <c r="C157" s="1">
        <v>45218</v>
      </c>
      <c r="D157" s="1">
        <v>45237</v>
      </c>
      <c r="E157" t="s">
        <v>39</v>
      </c>
      <c r="F157" t="s">
        <v>18</v>
      </c>
      <c r="G157">
        <v>250</v>
      </c>
      <c r="H157">
        <v>45.92</v>
      </c>
      <c r="I157">
        <v>41.02</v>
      </c>
      <c r="J157">
        <v>3</v>
      </c>
      <c r="K157">
        <f t="shared" si="24"/>
        <v>247</v>
      </c>
      <c r="L157" t="s">
        <v>15</v>
      </c>
      <c r="M157" s="1">
        <f t="shared" si="25"/>
        <v>45237</v>
      </c>
      <c r="N157" t="str">
        <f t="shared" ca="1" si="26"/>
        <v>Net 45</v>
      </c>
      <c r="O157">
        <f t="shared" ca="1" si="27"/>
        <v>45</v>
      </c>
      <c r="P157" s="1">
        <f t="shared" ca="1" si="28"/>
        <v>45282</v>
      </c>
      <c r="Q157" s="1">
        <f t="shared" ca="1" si="29"/>
        <v>45294</v>
      </c>
      <c r="R157">
        <f t="shared" ca="1" si="30"/>
        <v>57</v>
      </c>
      <c r="S157" t="str">
        <f t="shared" ca="1" si="31"/>
        <v>Late</v>
      </c>
      <c r="T157" t="str">
        <f t="shared" ca="1" si="32"/>
        <v>31-60</v>
      </c>
      <c r="U157">
        <f t="shared" ca="1" si="33"/>
        <v>12</v>
      </c>
      <c r="V157" t="str">
        <f t="shared" ca="1" si="34"/>
        <v>Inefficient</v>
      </c>
      <c r="W157">
        <f t="shared" si="35"/>
        <v>10255</v>
      </c>
    </row>
    <row r="158" spans="1:23" x14ac:dyDescent="0.35">
      <c r="A158" t="s">
        <v>183</v>
      </c>
      <c r="B158" t="s">
        <v>29</v>
      </c>
      <c r="C158" s="1">
        <v>44910</v>
      </c>
      <c r="E158" t="s">
        <v>24</v>
      </c>
      <c r="F158" t="s">
        <v>14</v>
      </c>
      <c r="G158">
        <v>1913</v>
      </c>
      <c r="H158">
        <v>66.56</v>
      </c>
      <c r="I158">
        <v>61.34</v>
      </c>
      <c r="J158">
        <v>61</v>
      </c>
      <c r="K158">
        <f t="shared" si="24"/>
        <v>1852</v>
      </c>
      <c r="L158" t="s">
        <v>15</v>
      </c>
      <c r="M158" s="1">
        <f t="shared" si="25"/>
        <v>0</v>
      </c>
      <c r="N158" t="str">
        <f t="shared" ca="1" si="26"/>
        <v>Net 15</v>
      </c>
      <c r="O158">
        <f t="shared" ca="1" si="27"/>
        <v>15</v>
      </c>
      <c r="P158" s="1">
        <f t="shared" ca="1" si="28"/>
        <v>15</v>
      </c>
      <c r="Q158" s="1">
        <f t="shared" ca="1" si="29"/>
        <v>35</v>
      </c>
      <c r="R158">
        <f t="shared" ca="1" si="30"/>
        <v>35</v>
      </c>
      <c r="S158" t="str">
        <f t="shared" ca="1" si="31"/>
        <v>Late</v>
      </c>
      <c r="T158" t="str">
        <f t="shared" ca="1" si="32"/>
        <v>31-60</v>
      </c>
      <c r="U158">
        <f t="shared" ca="1" si="33"/>
        <v>20</v>
      </c>
      <c r="V158" t="str">
        <f t="shared" ca="1" si="34"/>
        <v>Inefficient</v>
      </c>
      <c r="W158">
        <f t="shared" si="35"/>
        <v>117343.42000000001</v>
      </c>
    </row>
    <row r="159" spans="1:23" x14ac:dyDescent="0.35">
      <c r="A159" t="s">
        <v>184</v>
      </c>
      <c r="B159" t="s">
        <v>23</v>
      </c>
      <c r="C159" s="1">
        <v>44676</v>
      </c>
      <c r="D159" s="1">
        <v>44681</v>
      </c>
      <c r="E159" t="s">
        <v>39</v>
      </c>
      <c r="F159" t="s">
        <v>18</v>
      </c>
      <c r="G159">
        <v>829</v>
      </c>
      <c r="H159">
        <v>45.98</v>
      </c>
      <c r="I159">
        <v>40.39</v>
      </c>
      <c r="K159">
        <f t="shared" si="24"/>
        <v>829</v>
      </c>
      <c r="L159" t="s">
        <v>15</v>
      </c>
      <c r="M159" s="1">
        <f t="shared" si="25"/>
        <v>44681</v>
      </c>
      <c r="N159" t="str">
        <f t="shared" ca="1" si="26"/>
        <v>Net 30</v>
      </c>
      <c r="O159">
        <f t="shared" ca="1" si="27"/>
        <v>30</v>
      </c>
      <c r="P159" s="1">
        <f t="shared" ca="1" si="28"/>
        <v>44711</v>
      </c>
      <c r="Q159" s="1">
        <f t="shared" ca="1" si="29"/>
        <v>44725</v>
      </c>
      <c r="R159">
        <f t="shared" ca="1" si="30"/>
        <v>44</v>
      </c>
      <c r="S159" t="str">
        <f t="shared" ca="1" si="31"/>
        <v>Late</v>
      </c>
      <c r="T159" t="str">
        <f t="shared" ca="1" si="32"/>
        <v>31-60</v>
      </c>
      <c r="U159">
        <f t="shared" ca="1" si="33"/>
        <v>14</v>
      </c>
      <c r="V159" t="str">
        <f t="shared" ca="1" si="34"/>
        <v>Inefficient</v>
      </c>
      <c r="W159">
        <f t="shared" si="35"/>
        <v>33483.31</v>
      </c>
    </row>
    <row r="160" spans="1:23" x14ac:dyDescent="0.35">
      <c r="A160" t="s">
        <v>185</v>
      </c>
      <c r="B160" t="s">
        <v>17</v>
      </c>
      <c r="C160" s="1">
        <v>44862</v>
      </c>
      <c r="D160" s="1">
        <v>44878</v>
      </c>
      <c r="E160" t="s">
        <v>26</v>
      </c>
      <c r="F160" t="s">
        <v>18</v>
      </c>
      <c r="G160">
        <v>979</v>
      </c>
      <c r="H160">
        <v>51.59</v>
      </c>
      <c r="I160">
        <v>49.69</v>
      </c>
      <c r="J160">
        <v>148</v>
      </c>
      <c r="K160">
        <f t="shared" si="24"/>
        <v>831</v>
      </c>
      <c r="L160" t="s">
        <v>15</v>
      </c>
      <c r="M160" s="1">
        <f t="shared" si="25"/>
        <v>44878</v>
      </c>
      <c r="N160" t="str">
        <f t="shared" ca="1" si="26"/>
        <v>Net 45</v>
      </c>
      <c r="O160">
        <f t="shared" ca="1" si="27"/>
        <v>45</v>
      </c>
      <c r="P160" s="1">
        <f t="shared" ca="1" si="28"/>
        <v>44923</v>
      </c>
      <c r="Q160" s="1">
        <f t="shared" ca="1" si="29"/>
        <v>44929</v>
      </c>
      <c r="R160">
        <f t="shared" ca="1" si="30"/>
        <v>51</v>
      </c>
      <c r="S160" t="str">
        <f t="shared" ca="1" si="31"/>
        <v>Late</v>
      </c>
      <c r="T160" t="str">
        <f t="shared" ca="1" si="32"/>
        <v>31-60</v>
      </c>
      <c r="U160">
        <f t="shared" ca="1" si="33"/>
        <v>6</v>
      </c>
      <c r="V160" t="str">
        <f t="shared" ca="1" si="34"/>
        <v>Inefficient</v>
      </c>
      <c r="W160">
        <f t="shared" si="35"/>
        <v>48646.509999999995</v>
      </c>
    </row>
    <row r="161" spans="1:23" x14ac:dyDescent="0.35">
      <c r="A161" t="s">
        <v>186</v>
      </c>
      <c r="B161" t="s">
        <v>29</v>
      </c>
      <c r="C161" s="1">
        <v>45007</v>
      </c>
      <c r="D161" s="1">
        <v>45025</v>
      </c>
      <c r="E161" t="s">
        <v>39</v>
      </c>
      <c r="F161" t="s">
        <v>33</v>
      </c>
      <c r="G161">
        <v>1106</v>
      </c>
      <c r="H161">
        <v>97.77</v>
      </c>
      <c r="I161">
        <v>90.45</v>
      </c>
      <c r="J161">
        <v>31</v>
      </c>
      <c r="K161">
        <f t="shared" si="24"/>
        <v>1075</v>
      </c>
      <c r="L161" t="s">
        <v>15</v>
      </c>
      <c r="M161" s="1">
        <f t="shared" si="25"/>
        <v>45025</v>
      </c>
      <c r="N161" t="str">
        <f t="shared" ca="1" si="26"/>
        <v>Net 15</v>
      </c>
      <c r="O161">
        <f t="shared" ca="1" si="27"/>
        <v>15</v>
      </c>
      <c r="P161" s="1">
        <f t="shared" ca="1" si="28"/>
        <v>45040</v>
      </c>
      <c r="Q161" s="1">
        <f t="shared" ca="1" si="29"/>
        <v>45038</v>
      </c>
      <c r="R161">
        <f t="shared" ca="1" si="30"/>
        <v>13</v>
      </c>
      <c r="S161" t="str">
        <f t="shared" ca="1" si="31"/>
        <v>On Time</v>
      </c>
      <c r="T161" t="str">
        <f t="shared" ca="1" si="32"/>
        <v>0-30</v>
      </c>
      <c r="U161">
        <f t="shared" ca="1" si="33"/>
        <v>0</v>
      </c>
      <c r="V161" t="str">
        <f t="shared" ca="1" si="34"/>
        <v>Efficient</v>
      </c>
      <c r="W161">
        <f t="shared" si="35"/>
        <v>100037.7</v>
      </c>
    </row>
    <row r="162" spans="1:23" x14ac:dyDescent="0.35">
      <c r="A162" t="s">
        <v>187</v>
      </c>
      <c r="B162" t="s">
        <v>17</v>
      </c>
      <c r="C162" s="1">
        <v>44723</v>
      </c>
      <c r="D162" s="1">
        <v>44736</v>
      </c>
      <c r="E162" t="s">
        <v>13</v>
      </c>
      <c r="F162" t="s">
        <v>35</v>
      </c>
      <c r="G162">
        <v>1121</v>
      </c>
      <c r="H162">
        <v>42.38</v>
      </c>
      <c r="I162">
        <v>38.340000000000003</v>
      </c>
      <c r="J162">
        <v>152</v>
      </c>
      <c r="K162">
        <f t="shared" si="24"/>
        <v>969</v>
      </c>
      <c r="L162" t="s">
        <v>15</v>
      </c>
      <c r="M162" s="1">
        <f t="shared" si="25"/>
        <v>44736</v>
      </c>
      <c r="N162" t="str">
        <f t="shared" ca="1" si="26"/>
        <v>Net 45</v>
      </c>
      <c r="O162">
        <f t="shared" ca="1" si="27"/>
        <v>45</v>
      </c>
      <c r="P162" s="1">
        <f t="shared" ca="1" si="28"/>
        <v>44781</v>
      </c>
      <c r="Q162" s="1">
        <f t="shared" ca="1" si="29"/>
        <v>44797</v>
      </c>
      <c r="R162">
        <f t="shared" ca="1" si="30"/>
        <v>61</v>
      </c>
      <c r="S162" t="str">
        <f t="shared" ca="1" si="31"/>
        <v>Late</v>
      </c>
      <c r="T162" t="str">
        <f t="shared" ca="1" si="32"/>
        <v>61-90</v>
      </c>
      <c r="U162">
        <f t="shared" ca="1" si="33"/>
        <v>16</v>
      </c>
      <c r="V162" t="str">
        <f t="shared" ca="1" si="34"/>
        <v>Inefficient</v>
      </c>
      <c r="W162">
        <f t="shared" si="35"/>
        <v>42979.140000000007</v>
      </c>
    </row>
    <row r="163" spans="1:23" x14ac:dyDescent="0.35">
      <c r="A163" t="s">
        <v>188</v>
      </c>
      <c r="B163" t="s">
        <v>12</v>
      </c>
      <c r="C163" s="1">
        <v>45026</v>
      </c>
      <c r="D163" s="1">
        <v>45037</v>
      </c>
      <c r="E163" t="s">
        <v>13</v>
      </c>
      <c r="F163" t="s">
        <v>18</v>
      </c>
      <c r="G163">
        <v>552</v>
      </c>
      <c r="H163">
        <v>60.48</v>
      </c>
      <c r="I163">
        <v>56.78</v>
      </c>
      <c r="J163">
        <v>10</v>
      </c>
      <c r="K163">
        <f t="shared" si="24"/>
        <v>542</v>
      </c>
      <c r="L163" t="s">
        <v>15</v>
      </c>
      <c r="M163" s="1">
        <f t="shared" si="25"/>
        <v>45037</v>
      </c>
      <c r="N163" t="str">
        <f t="shared" ca="1" si="26"/>
        <v>Net 15</v>
      </c>
      <c r="O163">
        <f t="shared" ca="1" si="27"/>
        <v>15</v>
      </c>
      <c r="P163" s="1">
        <f t="shared" ca="1" si="28"/>
        <v>45052</v>
      </c>
      <c r="Q163" s="1">
        <f t="shared" ca="1" si="29"/>
        <v>45057</v>
      </c>
      <c r="R163">
        <f t="shared" ca="1" si="30"/>
        <v>20</v>
      </c>
      <c r="S163" t="str">
        <f t="shared" ca="1" si="31"/>
        <v>Late</v>
      </c>
      <c r="T163" t="str">
        <f t="shared" ca="1" si="32"/>
        <v>0-30</v>
      </c>
      <c r="U163">
        <f t="shared" ca="1" si="33"/>
        <v>5</v>
      </c>
      <c r="V163" t="str">
        <f t="shared" ca="1" si="34"/>
        <v>Inefficient</v>
      </c>
      <c r="W163">
        <f t="shared" si="35"/>
        <v>31342.560000000001</v>
      </c>
    </row>
    <row r="164" spans="1:23" x14ac:dyDescent="0.35">
      <c r="A164" t="s">
        <v>189</v>
      </c>
      <c r="B164" t="s">
        <v>20</v>
      </c>
      <c r="C164" s="1">
        <v>44565</v>
      </c>
      <c r="D164" s="1">
        <v>44573</v>
      </c>
      <c r="E164" t="s">
        <v>24</v>
      </c>
      <c r="F164" t="s">
        <v>18</v>
      </c>
      <c r="G164">
        <v>456</v>
      </c>
      <c r="H164">
        <v>80.53</v>
      </c>
      <c r="I164">
        <v>77.86</v>
      </c>
      <c r="J164">
        <v>26</v>
      </c>
      <c r="K164">
        <f t="shared" si="24"/>
        <v>430</v>
      </c>
      <c r="L164" t="s">
        <v>15</v>
      </c>
      <c r="M164" s="1">
        <f t="shared" si="25"/>
        <v>44573</v>
      </c>
      <c r="N164" t="str">
        <f t="shared" ca="1" si="26"/>
        <v>Net 30</v>
      </c>
      <c r="O164">
        <f t="shared" ca="1" si="27"/>
        <v>30</v>
      </c>
      <c r="P164" s="1">
        <f t="shared" ca="1" si="28"/>
        <v>44603</v>
      </c>
      <c r="Q164" s="1">
        <f t="shared" ca="1" si="29"/>
        <v>44620</v>
      </c>
      <c r="R164">
        <f t="shared" ca="1" si="30"/>
        <v>47</v>
      </c>
      <c r="S164" t="str">
        <f t="shared" ca="1" si="31"/>
        <v>Late</v>
      </c>
      <c r="T164" t="str">
        <f t="shared" ca="1" si="32"/>
        <v>31-60</v>
      </c>
      <c r="U164">
        <f t="shared" ca="1" si="33"/>
        <v>17</v>
      </c>
      <c r="V164" t="str">
        <f t="shared" ca="1" si="34"/>
        <v>Inefficient</v>
      </c>
      <c r="W164">
        <f t="shared" si="35"/>
        <v>35504.159999999996</v>
      </c>
    </row>
    <row r="165" spans="1:23" x14ac:dyDescent="0.35">
      <c r="A165" t="s">
        <v>190</v>
      </c>
      <c r="B165" t="s">
        <v>17</v>
      </c>
      <c r="C165" s="1">
        <v>44831</v>
      </c>
      <c r="D165" s="1">
        <v>44839</v>
      </c>
      <c r="E165" t="s">
        <v>24</v>
      </c>
      <c r="F165" t="s">
        <v>18</v>
      </c>
      <c r="G165">
        <v>1647</v>
      </c>
      <c r="H165">
        <v>47.52</v>
      </c>
      <c r="I165">
        <v>44.92</v>
      </c>
      <c r="K165">
        <f t="shared" si="24"/>
        <v>1647</v>
      </c>
      <c r="L165" t="s">
        <v>15</v>
      </c>
      <c r="M165" s="1">
        <f t="shared" si="25"/>
        <v>44839</v>
      </c>
      <c r="N165" t="str">
        <f t="shared" ca="1" si="26"/>
        <v>Net 15</v>
      </c>
      <c r="O165">
        <f t="shared" ca="1" si="27"/>
        <v>15</v>
      </c>
      <c r="P165" s="1">
        <f t="shared" ca="1" si="28"/>
        <v>44854</v>
      </c>
      <c r="Q165" s="1">
        <f t="shared" ca="1" si="29"/>
        <v>44865</v>
      </c>
      <c r="R165">
        <f t="shared" ca="1" si="30"/>
        <v>26</v>
      </c>
      <c r="S165" t="str">
        <f t="shared" ca="1" si="31"/>
        <v>Late</v>
      </c>
      <c r="T165" t="str">
        <f t="shared" ca="1" si="32"/>
        <v>0-30</v>
      </c>
      <c r="U165">
        <f t="shared" ca="1" si="33"/>
        <v>11</v>
      </c>
      <c r="V165" t="str">
        <f t="shared" ca="1" si="34"/>
        <v>Inefficient</v>
      </c>
      <c r="W165">
        <f t="shared" si="35"/>
        <v>73983.240000000005</v>
      </c>
    </row>
    <row r="166" spans="1:23" x14ac:dyDescent="0.35">
      <c r="A166" t="s">
        <v>191</v>
      </c>
      <c r="B166" t="s">
        <v>29</v>
      </c>
      <c r="C166" s="1">
        <v>45074</v>
      </c>
      <c r="D166" s="1">
        <v>45088</v>
      </c>
      <c r="E166" t="s">
        <v>39</v>
      </c>
      <c r="F166" t="s">
        <v>35</v>
      </c>
      <c r="G166">
        <v>1801</v>
      </c>
      <c r="H166">
        <v>71.27</v>
      </c>
      <c r="I166">
        <v>61.24</v>
      </c>
      <c r="J166">
        <v>43</v>
      </c>
      <c r="K166">
        <f t="shared" si="24"/>
        <v>1758</v>
      </c>
      <c r="L166" t="s">
        <v>15</v>
      </c>
      <c r="M166" s="1">
        <f t="shared" si="25"/>
        <v>45088</v>
      </c>
      <c r="N166" t="str">
        <f t="shared" ca="1" si="26"/>
        <v>Net 30</v>
      </c>
      <c r="O166">
        <f t="shared" ca="1" si="27"/>
        <v>30</v>
      </c>
      <c r="P166" s="1">
        <f t="shared" ca="1" si="28"/>
        <v>45118</v>
      </c>
      <c r="Q166" s="1">
        <f t="shared" ca="1" si="29"/>
        <v>45135</v>
      </c>
      <c r="R166">
        <f t="shared" ca="1" si="30"/>
        <v>47</v>
      </c>
      <c r="S166" t="str">
        <f t="shared" ca="1" si="31"/>
        <v>Late</v>
      </c>
      <c r="T166" t="str">
        <f t="shared" ca="1" si="32"/>
        <v>31-60</v>
      </c>
      <c r="U166">
        <f t="shared" ca="1" si="33"/>
        <v>17</v>
      </c>
      <c r="V166" t="str">
        <f t="shared" ca="1" si="34"/>
        <v>Inefficient</v>
      </c>
      <c r="W166">
        <f t="shared" si="35"/>
        <v>110293.24</v>
      </c>
    </row>
    <row r="167" spans="1:23" x14ac:dyDescent="0.35">
      <c r="A167" t="s">
        <v>192</v>
      </c>
      <c r="B167" t="s">
        <v>20</v>
      </c>
      <c r="C167" s="1">
        <v>44744</v>
      </c>
      <c r="D167" s="1">
        <v>44760</v>
      </c>
      <c r="E167" t="s">
        <v>39</v>
      </c>
      <c r="F167" t="s">
        <v>18</v>
      </c>
      <c r="G167">
        <v>854</v>
      </c>
      <c r="H167">
        <v>90.24</v>
      </c>
      <c r="I167">
        <v>85.53</v>
      </c>
      <c r="K167">
        <f t="shared" si="24"/>
        <v>854</v>
      </c>
      <c r="L167" t="s">
        <v>15</v>
      </c>
      <c r="M167" s="1">
        <f t="shared" si="25"/>
        <v>44760</v>
      </c>
      <c r="N167" t="str">
        <f t="shared" ca="1" si="26"/>
        <v>Net 45</v>
      </c>
      <c r="O167">
        <f t="shared" ca="1" si="27"/>
        <v>45</v>
      </c>
      <c r="P167" s="1">
        <f t="shared" ca="1" si="28"/>
        <v>44805</v>
      </c>
      <c r="Q167" s="1">
        <f t="shared" ca="1" si="29"/>
        <v>44815</v>
      </c>
      <c r="R167">
        <f t="shared" ca="1" si="30"/>
        <v>55</v>
      </c>
      <c r="S167" t="str">
        <f t="shared" ca="1" si="31"/>
        <v>Late</v>
      </c>
      <c r="T167" t="str">
        <f t="shared" ca="1" si="32"/>
        <v>31-60</v>
      </c>
      <c r="U167">
        <f t="shared" ca="1" si="33"/>
        <v>10</v>
      </c>
      <c r="V167" t="str">
        <f t="shared" ca="1" si="34"/>
        <v>Inefficient</v>
      </c>
      <c r="W167">
        <f t="shared" si="35"/>
        <v>73042.62</v>
      </c>
    </row>
    <row r="168" spans="1:23" x14ac:dyDescent="0.35">
      <c r="A168" t="s">
        <v>193</v>
      </c>
      <c r="B168" t="s">
        <v>17</v>
      </c>
      <c r="C168" s="1">
        <v>45081</v>
      </c>
      <c r="D168" s="1">
        <v>45094</v>
      </c>
      <c r="E168" t="s">
        <v>39</v>
      </c>
      <c r="F168" t="s">
        <v>18</v>
      </c>
      <c r="G168">
        <v>148</v>
      </c>
      <c r="H168">
        <v>103.57</v>
      </c>
      <c r="I168">
        <v>98.62</v>
      </c>
      <c r="J168">
        <v>23</v>
      </c>
      <c r="K168">
        <f t="shared" si="24"/>
        <v>125</v>
      </c>
      <c r="L168" t="s">
        <v>27</v>
      </c>
      <c r="M168" s="1">
        <f t="shared" si="25"/>
        <v>45094</v>
      </c>
      <c r="N168" t="str">
        <f t="shared" ca="1" si="26"/>
        <v>Net 15</v>
      </c>
      <c r="O168">
        <f t="shared" ca="1" si="27"/>
        <v>15</v>
      </c>
      <c r="P168" s="1">
        <f t="shared" ca="1" si="28"/>
        <v>45109</v>
      </c>
      <c r="Q168" s="1">
        <f t="shared" ca="1" si="29"/>
        <v>45106</v>
      </c>
      <c r="R168">
        <f t="shared" ca="1" si="30"/>
        <v>12</v>
      </c>
      <c r="S168" t="str">
        <f t="shared" ca="1" si="31"/>
        <v>On Time</v>
      </c>
      <c r="T168" t="str">
        <f t="shared" ca="1" si="32"/>
        <v>0-30</v>
      </c>
      <c r="U168">
        <f t="shared" ca="1" si="33"/>
        <v>0</v>
      </c>
      <c r="V168" t="str">
        <f t="shared" ca="1" si="34"/>
        <v>Efficient</v>
      </c>
      <c r="W168">
        <f t="shared" si="35"/>
        <v>14595.76</v>
      </c>
    </row>
    <row r="169" spans="1:23" x14ac:dyDescent="0.35">
      <c r="A169" t="s">
        <v>194</v>
      </c>
      <c r="B169" t="s">
        <v>17</v>
      </c>
      <c r="C169" s="1">
        <v>44670</v>
      </c>
      <c r="D169" s="1">
        <v>44675</v>
      </c>
      <c r="E169" t="s">
        <v>21</v>
      </c>
      <c r="F169" t="s">
        <v>18</v>
      </c>
      <c r="G169">
        <v>733</v>
      </c>
      <c r="H169">
        <v>23.59</v>
      </c>
      <c r="I169">
        <v>22.85</v>
      </c>
      <c r="J169">
        <v>92</v>
      </c>
      <c r="K169">
        <f t="shared" si="24"/>
        <v>641</v>
      </c>
      <c r="L169" t="s">
        <v>15</v>
      </c>
      <c r="M169" s="1">
        <f t="shared" si="25"/>
        <v>44675</v>
      </c>
      <c r="N169" t="str">
        <f t="shared" ca="1" si="26"/>
        <v>Net 30</v>
      </c>
      <c r="O169">
        <f t="shared" ca="1" si="27"/>
        <v>30</v>
      </c>
      <c r="P169" s="1">
        <f t="shared" ca="1" si="28"/>
        <v>44705</v>
      </c>
      <c r="Q169" s="1">
        <f t="shared" ca="1" si="29"/>
        <v>44716</v>
      </c>
      <c r="R169">
        <f t="shared" ca="1" si="30"/>
        <v>41</v>
      </c>
      <c r="S169" t="str">
        <f t="shared" ca="1" si="31"/>
        <v>Late</v>
      </c>
      <c r="T169" t="str">
        <f t="shared" ca="1" si="32"/>
        <v>31-60</v>
      </c>
      <c r="U169">
        <f t="shared" ca="1" si="33"/>
        <v>11</v>
      </c>
      <c r="V169" t="str">
        <f t="shared" ca="1" si="34"/>
        <v>Inefficient</v>
      </c>
      <c r="W169">
        <f t="shared" si="35"/>
        <v>16749.05</v>
      </c>
    </row>
    <row r="170" spans="1:23" x14ac:dyDescent="0.35">
      <c r="A170" t="s">
        <v>195</v>
      </c>
      <c r="B170" t="s">
        <v>23</v>
      </c>
      <c r="C170" s="1">
        <v>45202</v>
      </c>
      <c r="D170" s="1">
        <v>45204</v>
      </c>
      <c r="E170" t="s">
        <v>26</v>
      </c>
      <c r="F170" t="s">
        <v>18</v>
      </c>
      <c r="G170">
        <v>1945</v>
      </c>
      <c r="H170">
        <v>103.2</v>
      </c>
      <c r="I170">
        <v>88.56</v>
      </c>
      <c r="K170">
        <f t="shared" si="24"/>
        <v>1945</v>
      </c>
      <c r="L170" t="s">
        <v>15</v>
      </c>
      <c r="M170" s="1">
        <f t="shared" si="25"/>
        <v>45204</v>
      </c>
      <c r="N170" t="str">
        <f t="shared" ca="1" si="26"/>
        <v>Net 45</v>
      </c>
      <c r="O170">
        <f t="shared" ca="1" si="27"/>
        <v>45</v>
      </c>
      <c r="P170" s="1">
        <f t="shared" ca="1" si="28"/>
        <v>45249</v>
      </c>
      <c r="Q170" s="1">
        <f t="shared" ca="1" si="29"/>
        <v>45245</v>
      </c>
      <c r="R170">
        <f t="shared" ca="1" si="30"/>
        <v>41</v>
      </c>
      <c r="S170" t="str">
        <f t="shared" ca="1" si="31"/>
        <v>On Time</v>
      </c>
      <c r="T170" t="str">
        <f t="shared" ca="1" si="32"/>
        <v>31-60</v>
      </c>
      <c r="U170">
        <f t="shared" ca="1" si="33"/>
        <v>0</v>
      </c>
      <c r="V170" t="str">
        <f t="shared" ca="1" si="34"/>
        <v>Efficient</v>
      </c>
      <c r="W170">
        <f t="shared" si="35"/>
        <v>172249.2</v>
      </c>
    </row>
    <row r="171" spans="1:23" x14ac:dyDescent="0.35">
      <c r="A171" t="s">
        <v>196</v>
      </c>
      <c r="B171" t="s">
        <v>20</v>
      </c>
      <c r="C171" s="1">
        <v>44867</v>
      </c>
      <c r="D171" s="1">
        <v>44886</v>
      </c>
      <c r="E171" t="s">
        <v>26</v>
      </c>
      <c r="F171" t="s">
        <v>18</v>
      </c>
      <c r="G171">
        <v>775</v>
      </c>
      <c r="H171">
        <v>57</v>
      </c>
      <c r="I171">
        <v>49.14</v>
      </c>
      <c r="J171">
        <v>48</v>
      </c>
      <c r="K171">
        <f t="shared" si="24"/>
        <v>727</v>
      </c>
      <c r="L171" t="s">
        <v>15</v>
      </c>
      <c r="M171" s="1">
        <f t="shared" si="25"/>
        <v>44886</v>
      </c>
      <c r="N171" t="str">
        <f t="shared" ca="1" si="26"/>
        <v>Net 45</v>
      </c>
      <c r="O171">
        <f t="shared" ca="1" si="27"/>
        <v>45</v>
      </c>
      <c r="P171" s="1">
        <f t="shared" ca="1" si="28"/>
        <v>44931</v>
      </c>
      <c r="Q171" s="1">
        <f t="shared" ca="1" si="29"/>
        <v>44937</v>
      </c>
      <c r="R171">
        <f t="shared" ca="1" si="30"/>
        <v>51</v>
      </c>
      <c r="S171" t="str">
        <f t="shared" ca="1" si="31"/>
        <v>Late</v>
      </c>
      <c r="T171" t="str">
        <f t="shared" ca="1" si="32"/>
        <v>31-60</v>
      </c>
      <c r="U171">
        <f t="shared" ca="1" si="33"/>
        <v>6</v>
      </c>
      <c r="V171" t="str">
        <f t="shared" ca="1" si="34"/>
        <v>Inefficient</v>
      </c>
      <c r="W171">
        <f t="shared" si="35"/>
        <v>38083.5</v>
      </c>
    </row>
    <row r="172" spans="1:23" x14ac:dyDescent="0.35">
      <c r="A172" t="s">
        <v>197</v>
      </c>
      <c r="B172" t="s">
        <v>17</v>
      </c>
      <c r="C172" s="1">
        <v>45216</v>
      </c>
      <c r="D172" s="1">
        <v>45220</v>
      </c>
      <c r="E172" t="s">
        <v>24</v>
      </c>
      <c r="F172" t="s">
        <v>18</v>
      </c>
      <c r="G172">
        <v>1620</v>
      </c>
      <c r="H172">
        <v>36.729999999999997</v>
      </c>
      <c r="I172">
        <v>33.450000000000003</v>
      </c>
      <c r="J172">
        <v>235</v>
      </c>
      <c r="K172">
        <f t="shared" si="24"/>
        <v>1385</v>
      </c>
      <c r="L172" t="s">
        <v>27</v>
      </c>
      <c r="M172" s="1">
        <f t="shared" si="25"/>
        <v>45220</v>
      </c>
      <c r="N172" t="str">
        <f t="shared" ca="1" si="26"/>
        <v>Net 30</v>
      </c>
      <c r="O172">
        <f t="shared" ca="1" si="27"/>
        <v>30</v>
      </c>
      <c r="P172" s="1">
        <f t="shared" ca="1" si="28"/>
        <v>45250</v>
      </c>
      <c r="Q172" s="1">
        <f t="shared" ca="1" si="29"/>
        <v>45258</v>
      </c>
      <c r="R172">
        <f t="shared" ca="1" si="30"/>
        <v>38</v>
      </c>
      <c r="S172" t="str">
        <f t="shared" ca="1" si="31"/>
        <v>Late</v>
      </c>
      <c r="T172" t="str">
        <f t="shared" ca="1" si="32"/>
        <v>31-60</v>
      </c>
      <c r="U172">
        <f t="shared" ca="1" si="33"/>
        <v>8</v>
      </c>
      <c r="V172" t="str">
        <f t="shared" ca="1" si="34"/>
        <v>Inefficient</v>
      </c>
      <c r="W172">
        <f t="shared" si="35"/>
        <v>54189.000000000007</v>
      </c>
    </row>
    <row r="173" spans="1:23" x14ac:dyDescent="0.35">
      <c r="A173" t="s">
        <v>198</v>
      </c>
      <c r="B173" t="s">
        <v>23</v>
      </c>
      <c r="C173" s="1">
        <v>45081</v>
      </c>
      <c r="D173" s="1">
        <v>45096</v>
      </c>
      <c r="E173" t="s">
        <v>13</v>
      </c>
      <c r="F173" t="s">
        <v>18</v>
      </c>
      <c r="G173">
        <v>1010</v>
      </c>
      <c r="H173">
        <v>55.68</v>
      </c>
      <c r="I173">
        <v>50.86</v>
      </c>
      <c r="K173">
        <f t="shared" si="24"/>
        <v>1010</v>
      </c>
      <c r="L173" t="s">
        <v>15</v>
      </c>
      <c r="M173" s="1">
        <f t="shared" si="25"/>
        <v>45096</v>
      </c>
      <c r="N173" t="str">
        <f t="shared" ca="1" si="26"/>
        <v>Net 15</v>
      </c>
      <c r="O173">
        <f t="shared" ca="1" si="27"/>
        <v>15</v>
      </c>
      <c r="P173" s="1">
        <f t="shared" ca="1" si="28"/>
        <v>45111</v>
      </c>
      <c r="Q173" s="1">
        <f t="shared" ca="1" si="29"/>
        <v>45125</v>
      </c>
      <c r="R173">
        <f t="shared" ca="1" si="30"/>
        <v>29</v>
      </c>
      <c r="S173" t="str">
        <f t="shared" ca="1" si="31"/>
        <v>Late</v>
      </c>
      <c r="T173" t="str">
        <f t="shared" ca="1" si="32"/>
        <v>0-30</v>
      </c>
      <c r="U173">
        <f t="shared" ca="1" si="33"/>
        <v>14</v>
      </c>
      <c r="V173" t="str">
        <f t="shared" ca="1" si="34"/>
        <v>Inefficient</v>
      </c>
      <c r="W173">
        <f t="shared" si="35"/>
        <v>51368.6</v>
      </c>
    </row>
    <row r="174" spans="1:23" x14ac:dyDescent="0.35">
      <c r="A174" t="s">
        <v>199</v>
      </c>
      <c r="B174" t="s">
        <v>29</v>
      </c>
      <c r="C174" s="1">
        <v>45185</v>
      </c>
      <c r="D174" s="1">
        <v>45200</v>
      </c>
      <c r="E174" t="s">
        <v>13</v>
      </c>
      <c r="F174" t="s">
        <v>18</v>
      </c>
      <c r="G174">
        <v>1812</v>
      </c>
      <c r="H174">
        <v>108.02</v>
      </c>
      <c r="I174">
        <v>101.02</v>
      </c>
      <c r="J174">
        <v>51</v>
      </c>
      <c r="K174">
        <f t="shared" si="24"/>
        <v>1761</v>
      </c>
      <c r="L174" t="s">
        <v>15</v>
      </c>
      <c r="M174" s="1">
        <f t="shared" si="25"/>
        <v>45200</v>
      </c>
      <c r="N174" t="str">
        <f t="shared" ca="1" si="26"/>
        <v>Net 15</v>
      </c>
      <c r="O174">
        <f t="shared" ca="1" si="27"/>
        <v>15</v>
      </c>
      <c r="P174" s="1">
        <f t="shared" ca="1" si="28"/>
        <v>45215</v>
      </c>
      <c r="Q174" s="1">
        <f t="shared" ca="1" si="29"/>
        <v>45223</v>
      </c>
      <c r="R174">
        <f t="shared" ca="1" si="30"/>
        <v>23</v>
      </c>
      <c r="S174" t="str">
        <f t="shared" ca="1" si="31"/>
        <v>Late</v>
      </c>
      <c r="T174" t="str">
        <f t="shared" ca="1" si="32"/>
        <v>0-30</v>
      </c>
      <c r="U174">
        <f t="shared" ca="1" si="33"/>
        <v>8</v>
      </c>
      <c r="V174" t="str">
        <f t="shared" ca="1" si="34"/>
        <v>Inefficient</v>
      </c>
      <c r="W174">
        <f t="shared" si="35"/>
        <v>183048.24</v>
      </c>
    </row>
    <row r="175" spans="1:23" x14ac:dyDescent="0.35">
      <c r="A175" t="s">
        <v>200</v>
      </c>
      <c r="B175" t="s">
        <v>17</v>
      </c>
      <c r="C175" s="1">
        <v>44765</v>
      </c>
      <c r="D175" s="1">
        <v>44770</v>
      </c>
      <c r="E175" t="s">
        <v>13</v>
      </c>
      <c r="F175" t="s">
        <v>18</v>
      </c>
      <c r="G175">
        <v>662</v>
      </c>
      <c r="H175">
        <v>55.97</v>
      </c>
      <c r="I175">
        <v>50</v>
      </c>
      <c r="J175">
        <v>100</v>
      </c>
      <c r="K175">
        <f t="shared" si="24"/>
        <v>562</v>
      </c>
      <c r="L175" t="s">
        <v>15</v>
      </c>
      <c r="M175" s="1">
        <f t="shared" si="25"/>
        <v>44770</v>
      </c>
      <c r="N175" t="str">
        <f t="shared" ca="1" si="26"/>
        <v>Net 15</v>
      </c>
      <c r="O175">
        <f t="shared" ca="1" si="27"/>
        <v>15</v>
      </c>
      <c r="P175" s="1">
        <f t="shared" ca="1" si="28"/>
        <v>44785</v>
      </c>
      <c r="Q175" s="1">
        <f t="shared" ca="1" si="29"/>
        <v>44795</v>
      </c>
      <c r="R175">
        <f t="shared" ca="1" si="30"/>
        <v>25</v>
      </c>
      <c r="S175" t="str">
        <f t="shared" ca="1" si="31"/>
        <v>Late</v>
      </c>
      <c r="T175" t="str">
        <f t="shared" ca="1" si="32"/>
        <v>0-30</v>
      </c>
      <c r="U175">
        <f t="shared" ca="1" si="33"/>
        <v>10</v>
      </c>
      <c r="V175" t="str">
        <f t="shared" ca="1" si="34"/>
        <v>Inefficient</v>
      </c>
      <c r="W175">
        <f t="shared" si="35"/>
        <v>33100</v>
      </c>
    </row>
    <row r="176" spans="1:23" x14ac:dyDescent="0.35">
      <c r="A176" t="s">
        <v>201</v>
      </c>
      <c r="B176" t="s">
        <v>23</v>
      </c>
      <c r="C176" s="1">
        <v>44718</v>
      </c>
      <c r="D176" s="1">
        <v>44723</v>
      </c>
      <c r="E176" t="s">
        <v>13</v>
      </c>
      <c r="F176" t="s">
        <v>35</v>
      </c>
      <c r="G176">
        <v>1535</v>
      </c>
      <c r="H176">
        <v>40.58</v>
      </c>
      <c r="I176">
        <v>38.71</v>
      </c>
      <c r="J176">
        <v>165</v>
      </c>
      <c r="K176">
        <f t="shared" si="24"/>
        <v>1370</v>
      </c>
      <c r="L176" t="s">
        <v>15</v>
      </c>
      <c r="M176" s="1">
        <f t="shared" si="25"/>
        <v>44723</v>
      </c>
      <c r="N176" t="str">
        <f t="shared" ca="1" si="26"/>
        <v>Net 15</v>
      </c>
      <c r="O176">
        <f t="shared" ca="1" si="27"/>
        <v>15</v>
      </c>
      <c r="P176" s="1">
        <f t="shared" ca="1" si="28"/>
        <v>44738</v>
      </c>
      <c r="Q176" s="1">
        <f t="shared" ca="1" si="29"/>
        <v>44746</v>
      </c>
      <c r="R176">
        <f t="shared" ca="1" si="30"/>
        <v>23</v>
      </c>
      <c r="S176" t="str">
        <f t="shared" ca="1" si="31"/>
        <v>Late</v>
      </c>
      <c r="T176" t="str">
        <f t="shared" ca="1" si="32"/>
        <v>0-30</v>
      </c>
      <c r="U176">
        <f t="shared" ca="1" si="33"/>
        <v>8</v>
      </c>
      <c r="V176" t="str">
        <f t="shared" ca="1" si="34"/>
        <v>Inefficient</v>
      </c>
      <c r="W176">
        <f t="shared" si="35"/>
        <v>59419.85</v>
      </c>
    </row>
    <row r="177" spans="1:23" x14ac:dyDescent="0.35">
      <c r="A177" t="s">
        <v>202</v>
      </c>
      <c r="B177" t="s">
        <v>23</v>
      </c>
      <c r="C177" s="1">
        <v>44944</v>
      </c>
      <c r="D177" s="1">
        <v>44953</v>
      </c>
      <c r="E177" t="s">
        <v>26</v>
      </c>
      <c r="F177" t="s">
        <v>18</v>
      </c>
      <c r="G177">
        <v>692</v>
      </c>
      <c r="H177">
        <v>71.03</v>
      </c>
      <c r="I177">
        <v>67.739999999999995</v>
      </c>
      <c r="J177">
        <v>70</v>
      </c>
      <c r="K177">
        <f t="shared" si="24"/>
        <v>622</v>
      </c>
      <c r="L177" t="s">
        <v>15</v>
      </c>
      <c r="M177" s="1">
        <f t="shared" si="25"/>
        <v>44953</v>
      </c>
      <c r="N177" t="str">
        <f t="shared" ca="1" si="26"/>
        <v>Net 45</v>
      </c>
      <c r="O177">
        <f t="shared" ca="1" si="27"/>
        <v>45</v>
      </c>
      <c r="P177" s="1">
        <f t="shared" ca="1" si="28"/>
        <v>44998</v>
      </c>
      <c r="Q177" s="1">
        <f t="shared" ca="1" si="29"/>
        <v>44997</v>
      </c>
      <c r="R177">
        <f t="shared" ca="1" si="30"/>
        <v>44</v>
      </c>
      <c r="S177" t="str">
        <f t="shared" ca="1" si="31"/>
        <v>On Time</v>
      </c>
      <c r="T177" t="str">
        <f t="shared" ca="1" si="32"/>
        <v>31-60</v>
      </c>
      <c r="U177">
        <f t="shared" ca="1" si="33"/>
        <v>0</v>
      </c>
      <c r="V177" t="str">
        <f t="shared" ca="1" si="34"/>
        <v>Efficient</v>
      </c>
      <c r="W177">
        <f t="shared" si="35"/>
        <v>46876.079999999994</v>
      </c>
    </row>
    <row r="178" spans="1:23" x14ac:dyDescent="0.35">
      <c r="A178" t="s">
        <v>203</v>
      </c>
      <c r="B178" t="s">
        <v>20</v>
      </c>
      <c r="C178" s="1">
        <v>44727</v>
      </c>
      <c r="D178" s="1">
        <v>44740</v>
      </c>
      <c r="E178" t="s">
        <v>21</v>
      </c>
      <c r="F178" t="s">
        <v>18</v>
      </c>
      <c r="G178">
        <v>1842</v>
      </c>
      <c r="H178">
        <v>32.4</v>
      </c>
      <c r="I178">
        <v>28.08</v>
      </c>
      <c r="J178">
        <v>96</v>
      </c>
      <c r="K178">
        <f t="shared" si="24"/>
        <v>1746</v>
      </c>
      <c r="L178" t="s">
        <v>15</v>
      </c>
      <c r="M178" s="1">
        <f t="shared" si="25"/>
        <v>44740</v>
      </c>
      <c r="N178" t="str">
        <f t="shared" ca="1" si="26"/>
        <v>Net 30</v>
      </c>
      <c r="O178">
        <f t="shared" ca="1" si="27"/>
        <v>30</v>
      </c>
      <c r="P178" s="1">
        <f t="shared" ca="1" si="28"/>
        <v>44770</v>
      </c>
      <c r="Q178" s="1">
        <f t="shared" ca="1" si="29"/>
        <v>44765</v>
      </c>
      <c r="R178">
        <f t="shared" ca="1" si="30"/>
        <v>25</v>
      </c>
      <c r="S178" t="str">
        <f t="shared" ca="1" si="31"/>
        <v>On Time</v>
      </c>
      <c r="T178" t="str">
        <f t="shared" ca="1" si="32"/>
        <v>0-30</v>
      </c>
      <c r="U178">
        <f t="shared" ca="1" si="33"/>
        <v>0</v>
      </c>
      <c r="V178" t="str">
        <f t="shared" ca="1" si="34"/>
        <v>Efficient</v>
      </c>
      <c r="W178">
        <f t="shared" si="35"/>
        <v>51723.359999999993</v>
      </c>
    </row>
    <row r="179" spans="1:23" x14ac:dyDescent="0.35">
      <c r="A179" t="s">
        <v>204</v>
      </c>
      <c r="B179" t="s">
        <v>23</v>
      </c>
      <c r="C179" s="1">
        <v>45114</v>
      </c>
      <c r="D179" s="1">
        <v>45125</v>
      </c>
      <c r="E179" t="s">
        <v>13</v>
      </c>
      <c r="F179" t="s">
        <v>14</v>
      </c>
      <c r="G179">
        <v>1078</v>
      </c>
      <c r="H179">
        <v>18.34</v>
      </c>
      <c r="I179">
        <v>17.41</v>
      </c>
      <c r="J179">
        <v>102</v>
      </c>
      <c r="K179">
        <f t="shared" si="24"/>
        <v>976</v>
      </c>
      <c r="L179" t="s">
        <v>15</v>
      </c>
      <c r="M179" s="1">
        <f t="shared" si="25"/>
        <v>45125</v>
      </c>
      <c r="N179" t="str">
        <f t="shared" ca="1" si="26"/>
        <v>Net 30</v>
      </c>
      <c r="O179">
        <f t="shared" ca="1" si="27"/>
        <v>30</v>
      </c>
      <c r="P179" s="1">
        <f t="shared" ca="1" si="28"/>
        <v>45155</v>
      </c>
      <c r="Q179" s="1">
        <f t="shared" ca="1" si="29"/>
        <v>45169</v>
      </c>
      <c r="R179">
        <f t="shared" ca="1" si="30"/>
        <v>44</v>
      </c>
      <c r="S179" t="str">
        <f t="shared" ca="1" si="31"/>
        <v>Late</v>
      </c>
      <c r="T179" t="str">
        <f t="shared" ca="1" si="32"/>
        <v>31-60</v>
      </c>
      <c r="U179">
        <f t="shared" ca="1" si="33"/>
        <v>14</v>
      </c>
      <c r="V179" t="str">
        <f t="shared" ca="1" si="34"/>
        <v>Inefficient</v>
      </c>
      <c r="W179">
        <f t="shared" si="35"/>
        <v>18767.98</v>
      </c>
    </row>
    <row r="180" spans="1:23" x14ac:dyDescent="0.35">
      <c r="A180" t="s">
        <v>205</v>
      </c>
      <c r="B180" t="s">
        <v>17</v>
      </c>
      <c r="C180" s="1">
        <v>45105</v>
      </c>
      <c r="D180" s="1">
        <v>45123</v>
      </c>
      <c r="E180" t="s">
        <v>24</v>
      </c>
      <c r="F180" t="s">
        <v>18</v>
      </c>
      <c r="G180">
        <v>1291</v>
      </c>
      <c r="H180">
        <v>23.44</v>
      </c>
      <c r="I180">
        <v>22.23</v>
      </c>
      <c r="K180">
        <f t="shared" si="24"/>
        <v>1291</v>
      </c>
      <c r="L180" t="s">
        <v>15</v>
      </c>
      <c r="M180" s="1">
        <f t="shared" si="25"/>
        <v>45123</v>
      </c>
      <c r="N180" t="str">
        <f t="shared" ca="1" si="26"/>
        <v>Net 15</v>
      </c>
      <c r="O180">
        <f t="shared" ca="1" si="27"/>
        <v>15</v>
      </c>
      <c r="P180" s="1">
        <f t="shared" ca="1" si="28"/>
        <v>45138</v>
      </c>
      <c r="Q180" s="1">
        <f t="shared" ca="1" si="29"/>
        <v>45158</v>
      </c>
      <c r="R180">
        <f t="shared" ca="1" si="30"/>
        <v>35</v>
      </c>
      <c r="S180" t="str">
        <f t="shared" ca="1" si="31"/>
        <v>Late</v>
      </c>
      <c r="T180" t="str">
        <f t="shared" ca="1" si="32"/>
        <v>31-60</v>
      </c>
      <c r="U180">
        <f t="shared" ca="1" si="33"/>
        <v>20</v>
      </c>
      <c r="V180" t="str">
        <f t="shared" ca="1" si="34"/>
        <v>Inefficient</v>
      </c>
      <c r="W180">
        <f t="shared" si="35"/>
        <v>28698.93</v>
      </c>
    </row>
    <row r="181" spans="1:23" x14ac:dyDescent="0.35">
      <c r="A181" t="s">
        <v>206</v>
      </c>
      <c r="B181" t="s">
        <v>12</v>
      </c>
      <c r="C181" s="1">
        <v>44562</v>
      </c>
      <c r="D181" s="1">
        <v>44573</v>
      </c>
      <c r="E181" t="s">
        <v>39</v>
      </c>
      <c r="F181" t="s">
        <v>18</v>
      </c>
      <c r="G181">
        <v>552</v>
      </c>
      <c r="H181">
        <v>21.52</v>
      </c>
      <c r="I181">
        <v>18.79</v>
      </c>
      <c r="J181">
        <v>13</v>
      </c>
      <c r="K181">
        <f t="shared" si="24"/>
        <v>539</v>
      </c>
      <c r="L181" t="s">
        <v>15</v>
      </c>
      <c r="M181" s="1">
        <f t="shared" si="25"/>
        <v>44573</v>
      </c>
      <c r="N181" t="str">
        <f t="shared" ca="1" si="26"/>
        <v>Net 15</v>
      </c>
      <c r="O181">
        <f t="shared" ca="1" si="27"/>
        <v>15</v>
      </c>
      <c r="P181" s="1">
        <f t="shared" ca="1" si="28"/>
        <v>44588</v>
      </c>
      <c r="Q181" s="1">
        <f t="shared" ca="1" si="29"/>
        <v>44600</v>
      </c>
      <c r="R181">
        <f t="shared" ca="1" si="30"/>
        <v>27</v>
      </c>
      <c r="S181" t="str">
        <f t="shared" ca="1" si="31"/>
        <v>Late</v>
      </c>
      <c r="T181" t="str">
        <f t="shared" ca="1" si="32"/>
        <v>0-30</v>
      </c>
      <c r="U181">
        <f t="shared" ca="1" si="33"/>
        <v>12</v>
      </c>
      <c r="V181" t="str">
        <f t="shared" ca="1" si="34"/>
        <v>Inefficient</v>
      </c>
      <c r="W181">
        <f t="shared" si="35"/>
        <v>10372.08</v>
      </c>
    </row>
    <row r="182" spans="1:23" x14ac:dyDescent="0.35">
      <c r="A182" t="s">
        <v>207</v>
      </c>
      <c r="B182" t="s">
        <v>29</v>
      </c>
      <c r="C182" s="1">
        <v>45175</v>
      </c>
      <c r="D182" s="1">
        <v>45191</v>
      </c>
      <c r="E182" t="s">
        <v>39</v>
      </c>
      <c r="F182" t="s">
        <v>18</v>
      </c>
      <c r="G182">
        <v>816</v>
      </c>
      <c r="H182">
        <v>26.04</v>
      </c>
      <c r="I182">
        <v>25.61</v>
      </c>
      <c r="J182">
        <v>28</v>
      </c>
      <c r="K182">
        <f t="shared" si="24"/>
        <v>788</v>
      </c>
      <c r="L182" t="s">
        <v>15</v>
      </c>
      <c r="M182" s="1">
        <f t="shared" si="25"/>
        <v>45191</v>
      </c>
      <c r="N182" t="str">
        <f t="shared" ca="1" si="26"/>
        <v>Net 30</v>
      </c>
      <c r="O182">
        <f t="shared" ca="1" si="27"/>
        <v>30</v>
      </c>
      <c r="P182" s="1">
        <f t="shared" ca="1" si="28"/>
        <v>45221</v>
      </c>
      <c r="Q182" s="1">
        <f t="shared" ca="1" si="29"/>
        <v>45226</v>
      </c>
      <c r="R182">
        <f t="shared" ca="1" si="30"/>
        <v>35</v>
      </c>
      <c r="S182" t="str">
        <f t="shared" ca="1" si="31"/>
        <v>Late</v>
      </c>
      <c r="T182" t="str">
        <f t="shared" ca="1" si="32"/>
        <v>31-60</v>
      </c>
      <c r="U182">
        <f t="shared" ca="1" si="33"/>
        <v>5</v>
      </c>
      <c r="V182" t="str">
        <f t="shared" ca="1" si="34"/>
        <v>Inefficient</v>
      </c>
      <c r="W182">
        <f t="shared" si="35"/>
        <v>20897.759999999998</v>
      </c>
    </row>
    <row r="183" spans="1:23" x14ac:dyDescent="0.35">
      <c r="A183" t="s">
        <v>208</v>
      </c>
      <c r="B183" t="s">
        <v>17</v>
      </c>
      <c r="C183" s="1">
        <v>44893</v>
      </c>
      <c r="D183" s="1">
        <v>44895</v>
      </c>
      <c r="E183" t="s">
        <v>24</v>
      </c>
      <c r="F183" t="s">
        <v>18</v>
      </c>
      <c r="G183">
        <v>447</v>
      </c>
      <c r="H183">
        <v>23.62</v>
      </c>
      <c r="I183">
        <v>21.81</v>
      </c>
      <c r="J183">
        <v>50</v>
      </c>
      <c r="K183">
        <f t="shared" si="24"/>
        <v>397</v>
      </c>
      <c r="L183" t="s">
        <v>15</v>
      </c>
      <c r="M183" s="1">
        <f t="shared" si="25"/>
        <v>44895</v>
      </c>
      <c r="N183" t="str">
        <f t="shared" ca="1" si="26"/>
        <v>Net 30</v>
      </c>
      <c r="O183">
        <f t="shared" ca="1" si="27"/>
        <v>30</v>
      </c>
      <c r="P183" s="1">
        <f t="shared" ca="1" si="28"/>
        <v>44925</v>
      </c>
      <c r="Q183" s="1">
        <f t="shared" ca="1" si="29"/>
        <v>44924</v>
      </c>
      <c r="R183">
        <f t="shared" ca="1" si="30"/>
        <v>29</v>
      </c>
      <c r="S183" t="str">
        <f t="shared" ca="1" si="31"/>
        <v>On Time</v>
      </c>
      <c r="T183" t="str">
        <f t="shared" ca="1" si="32"/>
        <v>0-30</v>
      </c>
      <c r="U183">
        <f t="shared" ca="1" si="33"/>
        <v>0</v>
      </c>
      <c r="V183" t="str">
        <f t="shared" ca="1" si="34"/>
        <v>Efficient</v>
      </c>
      <c r="W183">
        <f t="shared" si="35"/>
        <v>9749.07</v>
      </c>
    </row>
    <row r="184" spans="1:23" x14ac:dyDescent="0.35">
      <c r="A184" t="s">
        <v>209</v>
      </c>
      <c r="B184" t="s">
        <v>17</v>
      </c>
      <c r="C184" s="1">
        <v>45062</v>
      </c>
      <c r="D184" s="1">
        <v>45070</v>
      </c>
      <c r="E184" t="s">
        <v>24</v>
      </c>
      <c r="F184" t="s">
        <v>33</v>
      </c>
      <c r="G184">
        <v>920</v>
      </c>
      <c r="H184">
        <v>73.09</v>
      </c>
      <c r="I184">
        <v>70.14</v>
      </c>
      <c r="K184">
        <f t="shared" si="24"/>
        <v>920</v>
      </c>
      <c r="L184" t="s">
        <v>15</v>
      </c>
      <c r="M184" s="1">
        <f t="shared" si="25"/>
        <v>45070</v>
      </c>
      <c r="N184" t="str">
        <f t="shared" ca="1" si="26"/>
        <v>Net 45</v>
      </c>
      <c r="O184">
        <f t="shared" ca="1" si="27"/>
        <v>45</v>
      </c>
      <c r="P184" s="1">
        <f t="shared" ca="1" si="28"/>
        <v>45115</v>
      </c>
      <c r="Q184" s="1">
        <f t="shared" ca="1" si="29"/>
        <v>45133</v>
      </c>
      <c r="R184">
        <f t="shared" ca="1" si="30"/>
        <v>63</v>
      </c>
      <c r="S184" t="str">
        <f t="shared" ca="1" si="31"/>
        <v>Late</v>
      </c>
      <c r="T184" t="str">
        <f t="shared" ca="1" si="32"/>
        <v>61-90</v>
      </c>
      <c r="U184">
        <f t="shared" ca="1" si="33"/>
        <v>18</v>
      </c>
      <c r="V184" t="str">
        <f t="shared" ca="1" si="34"/>
        <v>Inefficient</v>
      </c>
      <c r="W184">
        <f t="shared" si="35"/>
        <v>64528.800000000003</v>
      </c>
    </row>
    <row r="185" spans="1:23" x14ac:dyDescent="0.35">
      <c r="A185" t="s">
        <v>210</v>
      </c>
      <c r="B185" t="s">
        <v>29</v>
      </c>
      <c r="C185" s="1">
        <v>44581</v>
      </c>
      <c r="D185" s="1">
        <v>44591</v>
      </c>
      <c r="E185" t="s">
        <v>24</v>
      </c>
      <c r="F185" t="s">
        <v>33</v>
      </c>
      <c r="G185">
        <v>844</v>
      </c>
      <c r="H185">
        <v>26.37</v>
      </c>
      <c r="I185">
        <v>25.08</v>
      </c>
      <c r="J185">
        <v>38</v>
      </c>
      <c r="K185">
        <f t="shared" si="24"/>
        <v>806</v>
      </c>
      <c r="L185" t="s">
        <v>15</v>
      </c>
      <c r="M185" s="1">
        <f t="shared" si="25"/>
        <v>44591</v>
      </c>
      <c r="N185" t="str">
        <f t="shared" ca="1" si="26"/>
        <v>Net 30</v>
      </c>
      <c r="O185">
        <f t="shared" ca="1" si="27"/>
        <v>30</v>
      </c>
      <c r="P185" s="1">
        <f t="shared" ca="1" si="28"/>
        <v>44621</v>
      </c>
      <c r="Q185" s="1">
        <f t="shared" ca="1" si="29"/>
        <v>44632</v>
      </c>
      <c r="R185">
        <f t="shared" ca="1" si="30"/>
        <v>41</v>
      </c>
      <c r="S185" t="str">
        <f t="shared" ca="1" si="31"/>
        <v>Late</v>
      </c>
      <c r="T185" t="str">
        <f t="shared" ca="1" si="32"/>
        <v>31-60</v>
      </c>
      <c r="U185">
        <f t="shared" ca="1" si="33"/>
        <v>11</v>
      </c>
      <c r="V185" t="str">
        <f t="shared" ca="1" si="34"/>
        <v>Inefficient</v>
      </c>
      <c r="W185">
        <f t="shared" si="35"/>
        <v>21167.519999999997</v>
      </c>
    </row>
    <row r="186" spans="1:23" x14ac:dyDescent="0.35">
      <c r="A186" t="s">
        <v>211</v>
      </c>
      <c r="B186" t="s">
        <v>29</v>
      </c>
      <c r="C186" s="1">
        <v>44676</v>
      </c>
      <c r="E186" t="s">
        <v>21</v>
      </c>
      <c r="F186" t="s">
        <v>18</v>
      </c>
      <c r="G186">
        <v>442</v>
      </c>
      <c r="H186">
        <v>41.73</v>
      </c>
      <c r="I186">
        <v>36.450000000000003</v>
      </c>
      <c r="J186">
        <v>15</v>
      </c>
      <c r="K186">
        <f t="shared" si="24"/>
        <v>427</v>
      </c>
      <c r="L186" t="s">
        <v>15</v>
      </c>
      <c r="M186" s="1">
        <f t="shared" si="25"/>
        <v>0</v>
      </c>
      <c r="N186" t="str">
        <f t="shared" ca="1" si="26"/>
        <v>Net 15</v>
      </c>
      <c r="O186">
        <f t="shared" ca="1" si="27"/>
        <v>15</v>
      </c>
      <c r="P186" s="1">
        <f t="shared" ca="1" si="28"/>
        <v>15</v>
      </c>
      <c r="Q186" s="1">
        <f t="shared" ca="1" si="29"/>
        <v>17</v>
      </c>
      <c r="R186">
        <f t="shared" ca="1" si="30"/>
        <v>17</v>
      </c>
      <c r="S186" t="str">
        <f t="shared" ca="1" si="31"/>
        <v>Late</v>
      </c>
      <c r="T186" t="str">
        <f t="shared" ca="1" si="32"/>
        <v>0-30</v>
      </c>
      <c r="U186">
        <f t="shared" ca="1" si="33"/>
        <v>2</v>
      </c>
      <c r="V186" t="str">
        <f t="shared" ca="1" si="34"/>
        <v>Inefficient</v>
      </c>
      <c r="W186">
        <f t="shared" si="35"/>
        <v>16110.900000000001</v>
      </c>
    </row>
    <row r="187" spans="1:23" x14ac:dyDescent="0.35">
      <c r="A187" t="s">
        <v>212</v>
      </c>
      <c r="B187" t="s">
        <v>23</v>
      </c>
      <c r="C187" s="1">
        <v>44933</v>
      </c>
      <c r="D187" s="1">
        <v>44947</v>
      </c>
      <c r="E187" t="s">
        <v>39</v>
      </c>
      <c r="F187" t="s">
        <v>14</v>
      </c>
      <c r="G187">
        <v>256</v>
      </c>
      <c r="H187">
        <v>96.15</v>
      </c>
      <c r="I187">
        <v>83.44</v>
      </c>
      <c r="J187">
        <v>26</v>
      </c>
      <c r="K187">
        <f t="shared" si="24"/>
        <v>230</v>
      </c>
      <c r="L187" t="s">
        <v>15</v>
      </c>
      <c r="M187" s="1">
        <f t="shared" si="25"/>
        <v>44947</v>
      </c>
      <c r="N187" t="str">
        <f t="shared" ca="1" si="26"/>
        <v>Net 30</v>
      </c>
      <c r="O187">
        <f t="shared" ca="1" si="27"/>
        <v>30</v>
      </c>
      <c r="P187" s="1">
        <f t="shared" ca="1" si="28"/>
        <v>44977</v>
      </c>
      <c r="Q187" s="1">
        <f t="shared" ca="1" si="29"/>
        <v>44992</v>
      </c>
      <c r="R187">
        <f t="shared" ca="1" si="30"/>
        <v>45</v>
      </c>
      <c r="S187" t="str">
        <f t="shared" ca="1" si="31"/>
        <v>Late</v>
      </c>
      <c r="T187" t="str">
        <f t="shared" ca="1" si="32"/>
        <v>31-60</v>
      </c>
      <c r="U187">
        <f t="shared" ca="1" si="33"/>
        <v>15</v>
      </c>
      <c r="V187" t="str">
        <f t="shared" ca="1" si="34"/>
        <v>Inefficient</v>
      </c>
      <c r="W187">
        <f t="shared" si="35"/>
        <v>21360.639999999999</v>
      </c>
    </row>
    <row r="188" spans="1:23" x14ac:dyDescent="0.35">
      <c r="A188" t="s">
        <v>213</v>
      </c>
      <c r="B188" t="s">
        <v>17</v>
      </c>
      <c r="C188" s="1">
        <v>44876</v>
      </c>
      <c r="E188" t="s">
        <v>21</v>
      </c>
      <c r="F188" t="s">
        <v>33</v>
      </c>
      <c r="G188">
        <v>1088</v>
      </c>
      <c r="H188">
        <v>55.29</v>
      </c>
      <c r="I188">
        <v>53.04</v>
      </c>
      <c r="J188">
        <v>161</v>
      </c>
      <c r="K188">
        <f t="shared" si="24"/>
        <v>927</v>
      </c>
      <c r="L188" t="s">
        <v>27</v>
      </c>
      <c r="M188" s="1">
        <f t="shared" si="25"/>
        <v>0</v>
      </c>
      <c r="N188" t="str">
        <f t="shared" ca="1" si="26"/>
        <v>Net 15</v>
      </c>
      <c r="O188">
        <f t="shared" ca="1" si="27"/>
        <v>15</v>
      </c>
      <c r="P188" s="1">
        <f t="shared" ca="1" si="28"/>
        <v>15</v>
      </c>
      <c r="Q188" s="1">
        <f t="shared" ca="1" si="29"/>
        <v>35</v>
      </c>
      <c r="R188">
        <f t="shared" ca="1" si="30"/>
        <v>35</v>
      </c>
      <c r="S188" t="str">
        <f t="shared" ca="1" si="31"/>
        <v>Late</v>
      </c>
      <c r="T188" t="str">
        <f t="shared" ca="1" si="32"/>
        <v>31-60</v>
      </c>
      <c r="U188">
        <f t="shared" ca="1" si="33"/>
        <v>20</v>
      </c>
      <c r="V188" t="str">
        <f t="shared" ca="1" si="34"/>
        <v>Inefficient</v>
      </c>
      <c r="W188">
        <f t="shared" si="35"/>
        <v>57707.519999999997</v>
      </c>
    </row>
    <row r="189" spans="1:23" x14ac:dyDescent="0.35">
      <c r="A189" t="s">
        <v>214</v>
      </c>
      <c r="B189" t="s">
        <v>23</v>
      </c>
      <c r="C189" s="1">
        <v>44807</v>
      </c>
      <c r="D189" s="1">
        <v>44811</v>
      </c>
      <c r="E189" t="s">
        <v>13</v>
      </c>
      <c r="F189" t="s">
        <v>18</v>
      </c>
      <c r="G189">
        <v>1931</v>
      </c>
      <c r="H189">
        <v>72.88</v>
      </c>
      <c r="I189">
        <v>64.69</v>
      </c>
      <c r="J189">
        <v>187</v>
      </c>
      <c r="K189">
        <f t="shared" si="24"/>
        <v>1744</v>
      </c>
      <c r="L189" t="s">
        <v>15</v>
      </c>
      <c r="M189" s="1">
        <f t="shared" si="25"/>
        <v>44811</v>
      </c>
      <c r="N189" t="str">
        <f t="shared" ca="1" si="26"/>
        <v>Net 15</v>
      </c>
      <c r="O189">
        <f t="shared" ca="1" si="27"/>
        <v>15</v>
      </c>
      <c r="P189" s="1">
        <f t="shared" ca="1" si="28"/>
        <v>44826</v>
      </c>
      <c r="Q189" s="1">
        <f t="shared" ca="1" si="29"/>
        <v>44823</v>
      </c>
      <c r="R189">
        <f t="shared" ca="1" si="30"/>
        <v>12</v>
      </c>
      <c r="S189" t="str">
        <f t="shared" ca="1" si="31"/>
        <v>On Time</v>
      </c>
      <c r="T189" t="str">
        <f t="shared" ca="1" si="32"/>
        <v>0-30</v>
      </c>
      <c r="U189">
        <f t="shared" ca="1" si="33"/>
        <v>0</v>
      </c>
      <c r="V189" t="str">
        <f t="shared" ca="1" si="34"/>
        <v>Efficient</v>
      </c>
      <c r="W189">
        <f t="shared" si="35"/>
        <v>124916.39</v>
      </c>
    </row>
    <row r="190" spans="1:23" x14ac:dyDescent="0.35">
      <c r="A190" t="s">
        <v>215</v>
      </c>
      <c r="B190" t="s">
        <v>20</v>
      </c>
      <c r="C190" s="1">
        <v>44621</v>
      </c>
      <c r="D190" s="1">
        <v>44631</v>
      </c>
      <c r="E190" t="s">
        <v>39</v>
      </c>
      <c r="F190" t="s">
        <v>18</v>
      </c>
      <c r="G190">
        <v>1627</v>
      </c>
      <c r="H190">
        <v>25.76</v>
      </c>
      <c r="I190">
        <v>25.09</v>
      </c>
      <c r="J190">
        <v>74</v>
      </c>
      <c r="K190">
        <f t="shared" si="24"/>
        <v>1553</v>
      </c>
      <c r="L190" t="s">
        <v>15</v>
      </c>
      <c r="M190" s="1">
        <f t="shared" si="25"/>
        <v>44631</v>
      </c>
      <c r="N190" t="str">
        <f t="shared" ca="1" si="26"/>
        <v>Net 45</v>
      </c>
      <c r="O190">
        <f t="shared" ca="1" si="27"/>
        <v>45</v>
      </c>
      <c r="P190" s="1">
        <f t="shared" ca="1" si="28"/>
        <v>44676</v>
      </c>
      <c r="Q190" s="1">
        <f t="shared" ca="1" si="29"/>
        <v>44672</v>
      </c>
      <c r="R190">
        <f t="shared" ca="1" si="30"/>
        <v>41</v>
      </c>
      <c r="S190" t="str">
        <f t="shared" ca="1" si="31"/>
        <v>On Time</v>
      </c>
      <c r="T190" t="str">
        <f t="shared" ca="1" si="32"/>
        <v>31-60</v>
      </c>
      <c r="U190">
        <f t="shared" ca="1" si="33"/>
        <v>0</v>
      </c>
      <c r="V190" t="str">
        <f t="shared" ca="1" si="34"/>
        <v>Efficient</v>
      </c>
      <c r="W190">
        <f t="shared" si="35"/>
        <v>40821.43</v>
      </c>
    </row>
    <row r="191" spans="1:23" x14ac:dyDescent="0.35">
      <c r="A191" t="s">
        <v>216</v>
      </c>
      <c r="B191" t="s">
        <v>23</v>
      </c>
      <c r="C191" s="1">
        <v>44808</v>
      </c>
      <c r="E191" t="s">
        <v>24</v>
      </c>
      <c r="F191" t="s">
        <v>18</v>
      </c>
      <c r="G191">
        <v>941</v>
      </c>
      <c r="H191">
        <v>28.4</v>
      </c>
      <c r="I191">
        <v>27.21</v>
      </c>
      <c r="K191">
        <f t="shared" si="24"/>
        <v>941</v>
      </c>
      <c r="L191" t="s">
        <v>27</v>
      </c>
      <c r="M191" s="1">
        <f t="shared" si="25"/>
        <v>0</v>
      </c>
      <c r="N191" t="str">
        <f t="shared" ca="1" si="26"/>
        <v>Net 15</v>
      </c>
      <c r="O191">
        <f t="shared" ca="1" si="27"/>
        <v>15</v>
      </c>
      <c r="P191" s="1">
        <f t="shared" ca="1" si="28"/>
        <v>15</v>
      </c>
      <c r="Q191" s="1">
        <f t="shared" ca="1" si="29"/>
        <v>20</v>
      </c>
      <c r="R191">
        <f t="shared" ca="1" si="30"/>
        <v>20</v>
      </c>
      <c r="S191" t="str">
        <f t="shared" ca="1" si="31"/>
        <v>Late</v>
      </c>
      <c r="T191" t="str">
        <f t="shared" ca="1" si="32"/>
        <v>0-30</v>
      </c>
      <c r="U191">
        <f t="shared" ca="1" si="33"/>
        <v>5</v>
      </c>
      <c r="V191" t="str">
        <f t="shared" ca="1" si="34"/>
        <v>Inefficient</v>
      </c>
      <c r="W191">
        <f t="shared" si="35"/>
        <v>25604.61</v>
      </c>
    </row>
    <row r="192" spans="1:23" x14ac:dyDescent="0.35">
      <c r="A192" t="s">
        <v>217</v>
      </c>
      <c r="B192" t="s">
        <v>20</v>
      </c>
      <c r="C192" s="1">
        <v>45142</v>
      </c>
      <c r="D192" s="1">
        <v>45144</v>
      </c>
      <c r="E192" t="s">
        <v>21</v>
      </c>
      <c r="F192" t="s">
        <v>18</v>
      </c>
      <c r="G192">
        <v>1534</v>
      </c>
      <c r="H192">
        <v>14.98</v>
      </c>
      <c r="I192">
        <v>12.79</v>
      </c>
      <c r="K192">
        <f t="shared" si="24"/>
        <v>1534</v>
      </c>
      <c r="L192" t="s">
        <v>15</v>
      </c>
      <c r="M192" s="1">
        <f t="shared" si="25"/>
        <v>45144</v>
      </c>
      <c r="N192" t="str">
        <f t="shared" ca="1" si="26"/>
        <v>Net 45</v>
      </c>
      <c r="O192">
        <f t="shared" ca="1" si="27"/>
        <v>45</v>
      </c>
      <c r="P192" s="1">
        <f t="shared" ca="1" si="28"/>
        <v>45189</v>
      </c>
      <c r="Q192" s="1">
        <f t="shared" ca="1" si="29"/>
        <v>45199</v>
      </c>
      <c r="R192">
        <f t="shared" ca="1" si="30"/>
        <v>55</v>
      </c>
      <c r="S192" t="str">
        <f t="shared" ca="1" si="31"/>
        <v>Late</v>
      </c>
      <c r="T192" t="str">
        <f t="shared" ca="1" si="32"/>
        <v>31-60</v>
      </c>
      <c r="U192">
        <f t="shared" ca="1" si="33"/>
        <v>10</v>
      </c>
      <c r="V192" t="str">
        <f t="shared" ca="1" si="34"/>
        <v>Inefficient</v>
      </c>
      <c r="W192">
        <f t="shared" si="35"/>
        <v>19619.859999999997</v>
      </c>
    </row>
    <row r="193" spans="1:23" x14ac:dyDescent="0.35">
      <c r="A193" t="s">
        <v>218</v>
      </c>
      <c r="B193" t="s">
        <v>12</v>
      </c>
      <c r="C193" s="1">
        <v>44642</v>
      </c>
      <c r="D193" s="1">
        <v>44654</v>
      </c>
      <c r="E193" t="s">
        <v>26</v>
      </c>
      <c r="F193" t="s">
        <v>18</v>
      </c>
      <c r="G193">
        <v>1764</v>
      </c>
      <c r="H193">
        <v>25.46</v>
      </c>
      <c r="I193">
        <v>24.52</v>
      </c>
      <c r="J193">
        <v>46</v>
      </c>
      <c r="K193">
        <f t="shared" si="24"/>
        <v>1718</v>
      </c>
      <c r="L193" t="s">
        <v>15</v>
      </c>
      <c r="M193" s="1">
        <f t="shared" si="25"/>
        <v>44654</v>
      </c>
      <c r="N193" t="str">
        <f t="shared" ca="1" si="26"/>
        <v>Net 15</v>
      </c>
      <c r="O193">
        <f t="shared" ca="1" si="27"/>
        <v>15</v>
      </c>
      <c r="P193" s="1">
        <f t="shared" ca="1" si="28"/>
        <v>44669</v>
      </c>
      <c r="Q193" s="1">
        <f t="shared" ca="1" si="29"/>
        <v>44685</v>
      </c>
      <c r="R193">
        <f t="shared" ca="1" si="30"/>
        <v>31</v>
      </c>
      <c r="S193" t="str">
        <f t="shared" ca="1" si="31"/>
        <v>Late</v>
      </c>
      <c r="T193" t="str">
        <f t="shared" ca="1" si="32"/>
        <v>31-60</v>
      </c>
      <c r="U193">
        <f t="shared" ca="1" si="33"/>
        <v>16</v>
      </c>
      <c r="V193" t="str">
        <f t="shared" ca="1" si="34"/>
        <v>Inefficient</v>
      </c>
      <c r="W193">
        <f t="shared" si="35"/>
        <v>43253.279999999999</v>
      </c>
    </row>
    <row r="194" spans="1:23" x14ac:dyDescent="0.35">
      <c r="A194" t="s">
        <v>219</v>
      </c>
      <c r="B194" t="s">
        <v>17</v>
      </c>
      <c r="C194" s="1">
        <v>44649</v>
      </c>
      <c r="D194" s="1">
        <v>44657</v>
      </c>
      <c r="E194" t="s">
        <v>39</v>
      </c>
      <c r="F194" t="s">
        <v>18</v>
      </c>
      <c r="G194">
        <v>1648</v>
      </c>
      <c r="H194">
        <v>35.42</v>
      </c>
      <c r="I194">
        <v>31.46</v>
      </c>
      <c r="K194">
        <f t="shared" si="24"/>
        <v>1648</v>
      </c>
      <c r="L194" t="s">
        <v>27</v>
      </c>
      <c r="M194" s="1">
        <f t="shared" si="25"/>
        <v>44657</v>
      </c>
      <c r="N194" t="str">
        <f t="shared" ca="1" si="26"/>
        <v>Net 45</v>
      </c>
      <c r="O194">
        <f t="shared" ca="1" si="27"/>
        <v>45</v>
      </c>
      <c r="P194" s="1">
        <f t="shared" ca="1" si="28"/>
        <v>44702</v>
      </c>
      <c r="Q194" s="1">
        <f t="shared" ca="1" si="29"/>
        <v>44700</v>
      </c>
      <c r="R194">
        <f t="shared" ca="1" si="30"/>
        <v>43</v>
      </c>
      <c r="S194" t="str">
        <f t="shared" ca="1" si="31"/>
        <v>On Time</v>
      </c>
      <c r="T194" t="str">
        <f t="shared" ca="1" si="32"/>
        <v>31-60</v>
      </c>
      <c r="U194">
        <f t="shared" ca="1" si="33"/>
        <v>0</v>
      </c>
      <c r="V194" t="str">
        <f t="shared" ca="1" si="34"/>
        <v>Efficient</v>
      </c>
      <c r="W194">
        <f t="shared" si="35"/>
        <v>51846.080000000002</v>
      </c>
    </row>
    <row r="195" spans="1:23" x14ac:dyDescent="0.35">
      <c r="A195" t="s">
        <v>220</v>
      </c>
      <c r="B195" t="s">
        <v>20</v>
      </c>
      <c r="C195" s="1">
        <v>45059</v>
      </c>
      <c r="D195" s="1">
        <v>45078</v>
      </c>
      <c r="E195" t="s">
        <v>24</v>
      </c>
      <c r="F195" t="s">
        <v>18</v>
      </c>
      <c r="G195">
        <v>913</v>
      </c>
      <c r="H195">
        <v>28.01</v>
      </c>
      <c r="I195">
        <v>24.06</v>
      </c>
      <c r="J195">
        <v>53</v>
      </c>
      <c r="K195">
        <f t="shared" ref="K195:K258" si="36">G195-J195</f>
        <v>860</v>
      </c>
      <c r="L195" t="s">
        <v>15</v>
      </c>
      <c r="M195" s="1">
        <f t="shared" ref="M195:M258" si="37">D195</f>
        <v>45078</v>
      </c>
      <c r="N195" t="str">
        <f t="shared" ref="N195:N258" ca="1" si="38">CHOOSE(RANDBETWEEN(1,3),"Net 15","Net 30","Net 45")</f>
        <v>Net 30</v>
      </c>
      <c r="O195">
        <f t="shared" ref="O195:O258" ca="1" si="39">VALUE(RIGHT(N195,2))</f>
        <v>30</v>
      </c>
      <c r="P195" s="1">
        <f t="shared" ref="P195:P258" ca="1" si="40">(M195+O195)</f>
        <v>45108</v>
      </c>
      <c r="Q195" s="1">
        <f t="shared" ref="Q195:Q258" ca="1" si="41">P195 + RANDBETWEEN(-5,20)</f>
        <v>45108</v>
      </c>
      <c r="R195">
        <f t="shared" ref="R195:R258" ca="1" si="42">Q195-M195</f>
        <v>30</v>
      </c>
      <c r="S195" t="str">
        <f t="shared" ref="S195:S258" ca="1" si="43">IF(Q195&lt;=P195,"On Time","Late")</f>
        <v>On Time</v>
      </c>
      <c r="T195" t="str">
        <f t="shared" ref="T195:T258" ca="1" si="44">IF(R195&lt;=30,"0-30",
IF(R195&lt;=60,"31-60",
IF(R195&lt;=90,"61-90","90+")))</f>
        <v>0-30</v>
      </c>
      <c r="U195">
        <f t="shared" ref="U195:U258" ca="1" si="45">MAX(0,Q195-P195)</f>
        <v>0</v>
      </c>
      <c r="V195" t="str">
        <f t="shared" ref="V195:V258" ca="1" si="46">IF(U195=0,"Efficient","Inefficient")</f>
        <v>Efficient</v>
      </c>
      <c r="W195">
        <f t="shared" ref="W195:W258" si="47">G195*I195</f>
        <v>21966.78</v>
      </c>
    </row>
    <row r="196" spans="1:23" x14ac:dyDescent="0.35">
      <c r="A196" t="s">
        <v>221</v>
      </c>
      <c r="B196" t="s">
        <v>12</v>
      </c>
      <c r="C196" s="1">
        <v>44632</v>
      </c>
      <c r="D196" s="1">
        <v>44638</v>
      </c>
      <c r="E196" t="s">
        <v>24</v>
      </c>
      <c r="F196" t="s">
        <v>14</v>
      </c>
      <c r="G196">
        <v>792</v>
      </c>
      <c r="H196">
        <v>18.16</v>
      </c>
      <c r="I196">
        <v>17.25</v>
      </c>
      <c r="J196">
        <v>17</v>
      </c>
      <c r="K196">
        <f t="shared" si="36"/>
        <v>775</v>
      </c>
      <c r="L196" t="s">
        <v>15</v>
      </c>
      <c r="M196" s="1">
        <f t="shared" si="37"/>
        <v>44638</v>
      </c>
      <c r="N196" t="str">
        <f t="shared" ca="1" si="38"/>
        <v>Net 15</v>
      </c>
      <c r="O196">
        <f t="shared" ca="1" si="39"/>
        <v>15</v>
      </c>
      <c r="P196" s="1">
        <f t="shared" ca="1" si="40"/>
        <v>44653</v>
      </c>
      <c r="Q196" s="1">
        <f t="shared" ca="1" si="41"/>
        <v>44655</v>
      </c>
      <c r="R196">
        <f t="shared" ca="1" si="42"/>
        <v>17</v>
      </c>
      <c r="S196" t="str">
        <f t="shared" ca="1" si="43"/>
        <v>Late</v>
      </c>
      <c r="T196" t="str">
        <f t="shared" ca="1" si="44"/>
        <v>0-30</v>
      </c>
      <c r="U196">
        <f t="shared" ca="1" si="45"/>
        <v>2</v>
      </c>
      <c r="V196" t="str">
        <f t="shared" ca="1" si="46"/>
        <v>Inefficient</v>
      </c>
      <c r="W196">
        <f t="shared" si="47"/>
        <v>13662</v>
      </c>
    </row>
    <row r="197" spans="1:23" x14ac:dyDescent="0.35">
      <c r="A197" t="s">
        <v>222</v>
      </c>
      <c r="B197" t="s">
        <v>29</v>
      </c>
      <c r="C197" s="1">
        <v>45107</v>
      </c>
      <c r="D197" s="1">
        <v>45110</v>
      </c>
      <c r="E197" t="s">
        <v>13</v>
      </c>
      <c r="F197" t="s">
        <v>33</v>
      </c>
      <c r="G197">
        <v>1314</v>
      </c>
      <c r="H197">
        <v>22.63</v>
      </c>
      <c r="I197">
        <v>21.06</v>
      </c>
      <c r="J197">
        <v>44</v>
      </c>
      <c r="K197">
        <f t="shared" si="36"/>
        <v>1270</v>
      </c>
      <c r="L197" t="s">
        <v>15</v>
      </c>
      <c r="M197" s="1">
        <f t="shared" si="37"/>
        <v>45110</v>
      </c>
      <c r="N197" t="str">
        <f t="shared" ca="1" si="38"/>
        <v>Net 45</v>
      </c>
      <c r="O197">
        <f t="shared" ca="1" si="39"/>
        <v>45</v>
      </c>
      <c r="P197" s="1">
        <f t="shared" ca="1" si="40"/>
        <v>45155</v>
      </c>
      <c r="Q197" s="1">
        <f t="shared" ca="1" si="41"/>
        <v>45154</v>
      </c>
      <c r="R197">
        <f t="shared" ca="1" si="42"/>
        <v>44</v>
      </c>
      <c r="S197" t="str">
        <f t="shared" ca="1" si="43"/>
        <v>On Time</v>
      </c>
      <c r="T197" t="str">
        <f t="shared" ca="1" si="44"/>
        <v>31-60</v>
      </c>
      <c r="U197">
        <f t="shared" ca="1" si="45"/>
        <v>0</v>
      </c>
      <c r="V197" t="str">
        <f t="shared" ca="1" si="46"/>
        <v>Efficient</v>
      </c>
      <c r="W197">
        <f t="shared" si="47"/>
        <v>27672.839999999997</v>
      </c>
    </row>
    <row r="198" spans="1:23" x14ac:dyDescent="0.35">
      <c r="A198" t="s">
        <v>223</v>
      </c>
      <c r="B198" t="s">
        <v>23</v>
      </c>
      <c r="C198" s="1">
        <v>44690</v>
      </c>
      <c r="D198" s="1">
        <v>44703</v>
      </c>
      <c r="E198" t="s">
        <v>21</v>
      </c>
      <c r="F198" t="s">
        <v>18</v>
      </c>
      <c r="G198">
        <v>613</v>
      </c>
      <c r="H198">
        <v>52.5</v>
      </c>
      <c r="I198">
        <v>45.19</v>
      </c>
      <c r="J198">
        <v>70</v>
      </c>
      <c r="K198">
        <f t="shared" si="36"/>
        <v>543</v>
      </c>
      <c r="L198" t="s">
        <v>15</v>
      </c>
      <c r="M198" s="1">
        <f t="shared" si="37"/>
        <v>44703</v>
      </c>
      <c r="N198" t="str">
        <f t="shared" ca="1" si="38"/>
        <v>Net 45</v>
      </c>
      <c r="O198">
        <f t="shared" ca="1" si="39"/>
        <v>45</v>
      </c>
      <c r="P198" s="1">
        <f t="shared" ca="1" si="40"/>
        <v>44748</v>
      </c>
      <c r="Q198" s="1">
        <f t="shared" ca="1" si="41"/>
        <v>44746</v>
      </c>
      <c r="R198">
        <f t="shared" ca="1" si="42"/>
        <v>43</v>
      </c>
      <c r="S198" t="str">
        <f t="shared" ca="1" si="43"/>
        <v>On Time</v>
      </c>
      <c r="T198" t="str">
        <f t="shared" ca="1" si="44"/>
        <v>31-60</v>
      </c>
      <c r="U198">
        <f t="shared" ca="1" si="45"/>
        <v>0</v>
      </c>
      <c r="V198" t="str">
        <f t="shared" ca="1" si="46"/>
        <v>Efficient</v>
      </c>
      <c r="W198">
        <f t="shared" si="47"/>
        <v>27701.469999999998</v>
      </c>
    </row>
    <row r="199" spans="1:23" x14ac:dyDescent="0.35">
      <c r="A199" t="s">
        <v>224</v>
      </c>
      <c r="B199" t="s">
        <v>12</v>
      </c>
      <c r="C199" s="1">
        <v>44693</v>
      </c>
      <c r="D199" s="1">
        <v>44701</v>
      </c>
      <c r="E199" t="s">
        <v>13</v>
      </c>
      <c r="F199" t="s">
        <v>18</v>
      </c>
      <c r="G199">
        <v>1070</v>
      </c>
      <c r="H199">
        <v>29.14</v>
      </c>
      <c r="I199">
        <v>26.63</v>
      </c>
      <c r="J199">
        <v>24</v>
      </c>
      <c r="K199">
        <f t="shared" si="36"/>
        <v>1046</v>
      </c>
      <c r="L199" t="s">
        <v>15</v>
      </c>
      <c r="M199" s="1">
        <f t="shared" si="37"/>
        <v>44701</v>
      </c>
      <c r="N199" t="str">
        <f t="shared" ca="1" si="38"/>
        <v>Net 45</v>
      </c>
      <c r="O199">
        <f t="shared" ca="1" si="39"/>
        <v>45</v>
      </c>
      <c r="P199" s="1">
        <f t="shared" ca="1" si="40"/>
        <v>44746</v>
      </c>
      <c r="Q199" s="1">
        <f t="shared" ca="1" si="41"/>
        <v>44744</v>
      </c>
      <c r="R199">
        <f t="shared" ca="1" si="42"/>
        <v>43</v>
      </c>
      <c r="S199" t="str">
        <f t="shared" ca="1" si="43"/>
        <v>On Time</v>
      </c>
      <c r="T199" t="str">
        <f t="shared" ca="1" si="44"/>
        <v>31-60</v>
      </c>
      <c r="U199">
        <f t="shared" ca="1" si="45"/>
        <v>0</v>
      </c>
      <c r="V199" t="str">
        <f t="shared" ca="1" si="46"/>
        <v>Efficient</v>
      </c>
      <c r="W199">
        <f t="shared" si="47"/>
        <v>28494.1</v>
      </c>
    </row>
    <row r="200" spans="1:23" x14ac:dyDescent="0.35">
      <c r="A200" t="s">
        <v>225</v>
      </c>
      <c r="B200" t="s">
        <v>20</v>
      </c>
      <c r="C200" s="1">
        <v>45237</v>
      </c>
      <c r="D200" s="1">
        <v>45256</v>
      </c>
      <c r="E200" t="s">
        <v>26</v>
      </c>
      <c r="F200" t="s">
        <v>33</v>
      </c>
      <c r="G200">
        <v>145</v>
      </c>
      <c r="H200">
        <v>47.49</v>
      </c>
      <c r="I200">
        <v>42.76</v>
      </c>
      <c r="J200">
        <v>6</v>
      </c>
      <c r="K200">
        <f t="shared" si="36"/>
        <v>139</v>
      </c>
      <c r="L200" t="s">
        <v>15</v>
      </c>
      <c r="M200" s="1">
        <f t="shared" si="37"/>
        <v>45256</v>
      </c>
      <c r="N200" t="str">
        <f t="shared" ca="1" si="38"/>
        <v>Net 45</v>
      </c>
      <c r="O200">
        <f t="shared" ca="1" si="39"/>
        <v>45</v>
      </c>
      <c r="P200" s="1">
        <f t="shared" ca="1" si="40"/>
        <v>45301</v>
      </c>
      <c r="Q200" s="1">
        <f t="shared" ca="1" si="41"/>
        <v>45301</v>
      </c>
      <c r="R200">
        <f t="shared" ca="1" si="42"/>
        <v>45</v>
      </c>
      <c r="S200" t="str">
        <f t="shared" ca="1" si="43"/>
        <v>On Time</v>
      </c>
      <c r="T200" t="str">
        <f t="shared" ca="1" si="44"/>
        <v>31-60</v>
      </c>
      <c r="U200">
        <f t="shared" ca="1" si="45"/>
        <v>0</v>
      </c>
      <c r="V200" t="str">
        <f t="shared" ca="1" si="46"/>
        <v>Efficient</v>
      </c>
      <c r="W200">
        <f t="shared" si="47"/>
        <v>6200.2</v>
      </c>
    </row>
    <row r="201" spans="1:23" x14ac:dyDescent="0.35">
      <c r="A201" t="s">
        <v>226</v>
      </c>
      <c r="B201" t="s">
        <v>17</v>
      </c>
      <c r="C201" s="1">
        <v>45048</v>
      </c>
      <c r="D201" s="1">
        <v>45063</v>
      </c>
      <c r="E201" t="s">
        <v>26</v>
      </c>
      <c r="F201" t="s">
        <v>18</v>
      </c>
      <c r="G201">
        <v>1973</v>
      </c>
      <c r="H201">
        <v>59.73</v>
      </c>
      <c r="I201">
        <v>54.95</v>
      </c>
      <c r="J201">
        <v>291</v>
      </c>
      <c r="K201">
        <f t="shared" si="36"/>
        <v>1682</v>
      </c>
      <c r="L201" t="s">
        <v>15</v>
      </c>
      <c r="M201" s="1">
        <f t="shared" si="37"/>
        <v>45063</v>
      </c>
      <c r="N201" t="str">
        <f t="shared" ca="1" si="38"/>
        <v>Net 15</v>
      </c>
      <c r="O201">
        <f t="shared" ca="1" si="39"/>
        <v>15</v>
      </c>
      <c r="P201" s="1">
        <f t="shared" ca="1" si="40"/>
        <v>45078</v>
      </c>
      <c r="Q201" s="1">
        <f t="shared" ca="1" si="41"/>
        <v>45084</v>
      </c>
      <c r="R201">
        <f t="shared" ca="1" si="42"/>
        <v>21</v>
      </c>
      <c r="S201" t="str">
        <f t="shared" ca="1" si="43"/>
        <v>Late</v>
      </c>
      <c r="T201" t="str">
        <f t="shared" ca="1" si="44"/>
        <v>0-30</v>
      </c>
      <c r="U201">
        <f t="shared" ca="1" si="45"/>
        <v>6</v>
      </c>
      <c r="V201" t="str">
        <f t="shared" ca="1" si="46"/>
        <v>Inefficient</v>
      </c>
      <c r="W201">
        <f t="shared" si="47"/>
        <v>108416.35</v>
      </c>
    </row>
    <row r="202" spans="1:23" x14ac:dyDescent="0.35">
      <c r="A202" t="s">
        <v>227</v>
      </c>
      <c r="B202" t="s">
        <v>29</v>
      </c>
      <c r="C202" s="1">
        <v>45124</v>
      </c>
      <c r="D202" s="1">
        <v>45139</v>
      </c>
      <c r="E202" t="s">
        <v>13</v>
      </c>
      <c r="F202" t="s">
        <v>18</v>
      </c>
      <c r="G202">
        <v>1807</v>
      </c>
      <c r="H202">
        <v>78.63</v>
      </c>
      <c r="I202">
        <v>73.08</v>
      </c>
      <c r="J202">
        <v>100</v>
      </c>
      <c r="K202">
        <f t="shared" si="36"/>
        <v>1707</v>
      </c>
      <c r="L202" t="s">
        <v>15</v>
      </c>
      <c r="M202" s="1">
        <f t="shared" si="37"/>
        <v>45139</v>
      </c>
      <c r="N202" t="str">
        <f t="shared" ca="1" si="38"/>
        <v>Net 30</v>
      </c>
      <c r="O202">
        <f t="shared" ca="1" si="39"/>
        <v>30</v>
      </c>
      <c r="P202" s="1">
        <f t="shared" ca="1" si="40"/>
        <v>45169</v>
      </c>
      <c r="Q202" s="1">
        <f t="shared" ca="1" si="41"/>
        <v>45175</v>
      </c>
      <c r="R202">
        <f t="shared" ca="1" si="42"/>
        <v>36</v>
      </c>
      <c r="S202" t="str">
        <f t="shared" ca="1" si="43"/>
        <v>Late</v>
      </c>
      <c r="T202" t="str">
        <f t="shared" ca="1" si="44"/>
        <v>31-60</v>
      </c>
      <c r="U202">
        <f t="shared" ca="1" si="45"/>
        <v>6</v>
      </c>
      <c r="V202" t="str">
        <f t="shared" ca="1" si="46"/>
        <v>Inefficient</v>
      </c>
      <c r="W202">
        <f t="shared" si="47"/>
        <v>132055.56</v>
      </c>
    </row>
    <row r="203" spans="1:23" x14ac:dyDescent="0.35">
      <c r="A203" t="s">
        <v>228</v>
      </c>
      <c r="B203" t="s">
        <v>29</v>
      </c>
      <c r="C203" s="1">
        <v>44731</v>
      </c>
      <c r="D203" s="1">
        <v>44732</v>
      </c>
      <c r="E203" t="s">
        <v>39</v>
      </c>
      <c r="F203" t="s">
        <v>18</v>
      </c>
      <c r="G203">
        <v>534</v>
      </c>
      <c r="H203">
        <v>13.88</v>
      </c>
      <c r="I203">
        <v>12.51</v>
      </c>
      <c r="J203">
        <v>100</v>
      </c>
      <c r="K203">
        <f t="shared" si="36"/>
        <v>434</v>
      </c>
      <c r="L203" t="s">
        <v>15</v>
      </c>
      <c r="M203" s="1">
        <f t="shared" si="37"/>
        <v>44732</v>
      </c>
      <c r="N203" t="str">
        <f t="shared" ca="1" si="38"/>
        <v>Net 30</v>
      </c>
      <c r="O203">
        <f t="shared" ca="1" si="39"/>
        <v>30</v>
      </c>
      <c r="P203" s="1">
        <f t="shared" ca="1" si="40"/>
        <v>44762</v>
      </c>
      <c r="Q203" s="1">
        <f t="shared" ca="1" si="41"/>
        <v>44775</v>
      </c>
      <c r="R203">
        <f t="shared" ca="1" si="42"/>
        <v>43</v>
      </c>
      <c r="S203" t="str">
        <f t="shared" ca="1" si="43"/>
        <v>Late</v>
      </c>
      <c r="T203" t="str">
        <f t="shared" ca="1" si="44"/>
        <v>31-60</v>
      </c>
      <c r="U203">
        <f t="shared" ca="1" si="45"/>
        <v>13</v>
      </c>
      <c r="V203" t="str">
        <f t="shared" ca="1" si="46"/>
        <v>Inefficient</v>
      </c>
      <c r="W203">
        <f t="shared" si="47"/>
        <v>6680.34</v>
      </c>
    </row>
    <row r="204" spans="1:23" x14ac:dyDescent="0.35">
      <c r="A204" t="s">
        <v>229</v>
      </c>
      <c r="B204" t="s">
        <v>12</v>
      </c>
      <c r="C204" s="1">
        <v>44833</v>
      </c>
      <c r="D204" s="1">
        <v>44848</v>
      </c>
      <c r="E204" t="s">
        <v>39</v>
      </c>
      <c r="F204" t="s">
        <v>18</v>
      </c>
      <c r="G204">
        <v>1480</v>
      </c>
      <c r="H204">
        <v>85.22</v>
      </c>
      <c r="I204">
        <v>75.48</v>
      </c>
      <c r="J204">
        <v>100</v>
      </c>
      <c r="K204">
        <f t="shared" si="36"/>
        <v>1380</v>
      </c>
      <c r="L204" t="s">
        <v>15</v>
      </c>
      <c r="M204" s="1">
        <f t="shared" si="37"/>
        <v>44848</v>
      </c>
      <c r="N204" t="str">
        <f t="shared" ca="1" si="38"/>
        <v>Net 45</v>
      </c>
      <c r="O204">
        <f t="shared" ca="1" si="39"/>
        <v>45</v>
      </c>
      <c r="P204" s="1">
        <f t="shared" ca="1" si="40"/>
        <v>44893</v>
      </c>
      <c r="Q204" s="1">
        <f t="shared" ca="1" si="41"/>
        <v>44912</v>
      </c>
      <c r="R204">
        <f t="shared" ca="1" si="42"/>
        <v>64</v>
      </c>
      <c r="S204" t="str">
        <f t="shared" ca="1" si="43"/>
        <v>Late</v>
      </c>
      <c r="T204" t="str">
        <f t="shared" ca="1" si="44"/>
        <v>61-90</v>
      </c>
      <c r="U204">
        <f t="shared" ca="1" si="45"/>
        <v>19</v>
      </c>
      <c r="V204" t="str">
        <f t="shared" ca="1" si="46"/>
        <v>Inefficient</v>
      </c>
      <c r="W204">
        <f t="shared" si="47"/>
        <v>111710.40000000001</v>
      </c>
    </row>
    <row r="205" spans="1:23" x14ac:dyDescent="0.35">
      <c r="A205" t="s">
        <v>230</v>
      </c>
      <c r="B205" t="s">
        <v>12</v>
      </c>
      <c r="C205" s="1">
        <v>45102</v>
      </c>
      <c r="E205" t="s">
        <v>13</v>
      </c>
      <c r="F205" t="s">
        <v>18</v>
      </c>
      <c r="G205">
        <v>280</v>
      </c>
      <c r="H205">
        <v>72.16</v>
      </c>
      <c r="I205">
        <v>62.38</v>
      </c>
      <c r="J205">
        <v>100</v>
      </c>
      <c r="K205">
        <f t="shared" si="36"/>
        <v>180</v>
      </c>
      <c r="L205" t="s">
        <v>15</v>
      </c>
      <c r="M205" s="1">
        <f t="shared" si="37"/>
        <v>0</v>
      </c>
      <c r="N205" t="str">
        <f t="shared" ca="1" si="38"/>
        <v>Net 30</v>
      </c>
      <c r="O205">
        <f t="shared" ca="1" si="39"/>
        <v>30</v>
      </c>
      <c r="P205" s="1">
        <f t="shared" ca="1" si="40"/>
        <v>30</v>
      </c>
      <c r="Q205" s="1">
        <f t="shared" ca="1" si="41"/>
        <v>35</v>
      </c>
      <c r="R205">
        <f t="shared" ca="1" si="42"/>
        <v>35</v>
      </c>
      <c r="S205" t="str">
        <f t="shared" ca="1" si="43"/>
        <v>Late</v>
      </c>
      <c r="T205" t="str">
        <f t="shared" ca="1" si="44"/>
        <v>31-60</v>
      </c>
      <c r="U205">
        <f t="shared" ca="1" si="45"/>
        <v>5</v>
      </c>
      <c r="V205" t="str">
        <f t="shared" ca="1" si="46"/>
        <v>Inefficient</v>
      </c>
      <c r="W205">
        <f t="shared" si="47"/>
        <v>17466.400000000001</v>
      </c>
    </row>
    <row r="206" spans="1:23" x14ac:dyDescent="0.35">
      <c r="A206" t="s">
        <v>231</v>
      </c>
      <c r="B206" t="s">
        <v>23</v>
      </c>
      <c r="C206" s="1">
        <v>45183</v>
      </c>
      <c r="D206" s="1">
        <v>45189</v>
      </c>
      <c r="E206" t="s">
        <v>13</v>
      </c>
      <c r="F206" t="s">
        <v>14</v>
      </c>
      <c r="G206">
        <v>798</v>
      </c>
      <c r="H206">
        <v>19.09</v>
      </c>
      <c r="I206">
        <v>17.760000000000002</v>
      </c>
      <c r="J206">
        <v>100</v>
      </c>
      <c r="K206">
        <f t="shared" si="36"/>
        <v>698</v>
      </c>
      <c r="L206" t="s">
        <v>15</v>
      </c>
      <c r="M206" s="1">
        <f t="shared" si="37"/>
        <v>45189</v>
      </c>
      <c r="N206" t="str">
        <f t="shared" ca="1" si="38"/>
        <v>Net 45</v>
      </c>
      <c r="O206">
        <f t="shared" ca="1" si="39"/>
        <v>45</v>
      </c>
      <c r="P206" s="1">
        <f t="shared" ca="1" si="40"/>
        <v>45234</v>
      </c>
      <c r="Q206" s="1">
        <f t="shared" ca="1" si="41"/>
        <v>45235</v>
      </c>
      <c r="R206">
        <f t="shared" ca="1" si="42"/>
        <v>46</v>
      </c>
      <c r="S206" t="str">
        <f t="shared" ca="1" si="43"/>
        <v>Late</v>
      </c>
      <c r="T206" t="str">
        <f t="shared" ca="1" si="44"/>
        <v>31-60</v>
      </c>
      <c r="U206">
        <f t="shared" ca="1" si="45"/>
        <v>1</v>
      </c>
      <c r="V206" t="str">
        <f t="shared" ca="1" si="46"/>
        <v>Inefficient</v>
      </c>
      <c r="W206">
        <f t="shared" si="47"/>
        <v>14172.480000000001</v>
      </c>
    </row>
    <row r="207" spans="1:23" x14ac:dyDescent="0.35">
      <c r="A207" t="s">
        <v>232</v>
      </c>
      <c r="B207" t="s">
        <v>29</v>
      </c>
      <c r="C207" s="1">
        <v>44995</v>
      </c>
      <c r="D207" s="1">
        <v>45007</v>
      </c>
      <c r="E207" t="s">
        <v>39</v>
      </c>
      <c r="F207" t="s">
        <v>18</v>
      </c>
      <c r="G207">
        <v>1728</v>
      </c>
      <c r="H207">
        <v>94.83</v>
      </c>
      <c r="I207">
        <v>90.2</v>
      </c>
      <c r="J207">
        <v>100</v>
      </c>
      <c r="K207">
        <f t="shared" si="36"/>
        <v>1628</v>
      </c>
      <c r="L207" t="s">
        <v>15</v>
      </c>
      <c r="M207" s="1">
        <f t="shared" si="37"/>
        <v>45007</v>
      </c>
      <c r="N207" t="str">
        <f t="shared" ca="1" si="38"/>
        <v>Net 15</v>
      </c>
      <c r="O207">
        <f t="shared" ca="1" si="39"/>
        <v>15</v>
      </c>
      <c r="P207" s="1">
        <f t="shared" ca="1" si="40"/>
        <v>45022</v>
      </c>
      <c r="Q207" s="1">
        <f t="shared" ca="1" si="41"/>
        <v>45029</v>
      </c>
      <c r="R207">
        <f t="shared" ca="1" si="42"/>
        <v>22</v>
      </c>
      <c r="S207" t="str">
        <f t="shared" ca="1" si="43"/>
        <v>Late</v>
      </c>
      <c r="T207" t="str">
        <f t="shared" ca="1" si="44"/>
        <v>0-30</v>
      </c>
      <c r="U207">
        <f t="shared" ca="1" si="45"/>
        <v>7</v>
      </c>
      <c r="V207" t="str">
        <f t="shared" ca="1" si="46"/>
        <v>Inefficient</v>
      </c>
      <c r="W207">
        <f t="shared" si="47"/>
        <v>155865.60000000001</v>
      </c>
    </row>
    <row r="208" spans="1:23" x14ac:dyDescent="0.35">
      <c r="A208" t="s">
        <v>233</v>
      </c>
      <c r="B208" t="s">
        <v>29</v>
      </c>
      <c r="C208" s="1">
        <v>44778</v>
      </c>
      <c r="E208" t="s">
        <v>21</v>
      </c>
      <c r="F208" t="s">
        <v>18</v>
      </c>
      <c r="G208">
        <v>1244</v>
      </c>
      <c r="H208">
        <v>96.13</v>
      </c>
      <c r="I208">
        <v>84.78</v>
      </c>
      <c r="J208">
        <v>43</v>
      </c>
      <c r="K208">
        <f t="shared" si="36"/>
        <v>1201</v>
      </c>
      <c r="L208" t="s">
        <v>15</v>
      </c>
      <c r="M208" s="1">
        <f t="shared" si="37"/>
        <v>0</v>
      </c>
      <c r="N208" t="str">
        <f t="shared" ca="1" si="38"/>
        <v>Net 45</v>
      </c>
      <c r="O208">
        <f t="shared" ca="1" si="39"/>
        <v>45</v>
      </c>
      <c r="P208" s="1">
        <f t="shared" ca="1" si="40"/>
        <v>45</v>
      </c>
      <c r="Q208" s="1">
        <f t="shared" ca="1" si="41"/>
        <v>63</v>
      </c>
      <c r="R208">
        <f t="shared" ca="1" si="42"/>
        <v>63</v>
      </c>
      <c r="S208" t="str">
        <f t="shared" ca="1" si="43"/>
        <v>Late</v>
      </c>
      <c r="T208" t="str">
        <f t="shared" ca="1" si="44"/>
        <v>61-90</v>
      </c>
      <c r="U208">
        <f t="shared" ca="1" si="45"/>
        <v>18</v>
      </c>
      <c r="V208" t="str">
        <f t="shared" ca="1" si="46"/>
        <v>Inefficient</v>
      </c>
      <c r="W208">
        <f t="shared" si="47"/>
        <v>105466.32</v>
      </c>
    </row>
    <row r="209" spans="1:23" x14ac:dyDescent="0.35">
      <c r="A209" t="s">
        <v>234</v>
      </c>
      <c r="B209" t="s">
        <v>23</v>
      </c>
      <c r="C209" s="1">
        <v>45114</v>
      </c>
      <c r="D209" s="1">
        <v>45128</v>
      </c>
      <c r="E209" t="s">
        <v>13</v>
      </c>
      <c r="F209" t="s">
        <v>18</v>
      </c>
      <c r="G209">
        <v>590</v>
      </c>
      <c r="H209">
        <v>16.89</v>
      </c>
      <c r="I209">
        <v>15.56</v>
      </c>
      <c r="J209">
        <v>46</v>
      </c>
      <c r="K209">
        <f t="shared" si="36"/>
        <v>544</v>
      </c>
      <c r="L209" t="s">
        <v>27</v>
      </c>
      <c r="M209" s="1">
        <f t="shared" si="37"/>
        <v>45128</v>
      </c>
      <c r="N209" t="str">
        <f t="shared" ca="1" si="38"/>
        <v>Net 15</v>
      </c>
      <c r="O209">
        <f t="shared" ca="1" si="39"/>
        <v>15</v>
      </c>
      <c r="P209" s="1">
        <f t="shared" ca="1" si="40"/>
        <v>45143</v>
      </c>
      <c r="Q209" s="1">
        <f t="shared" ca="1" si="41"/>
        <v>45155</v>
      </c>
      <c r="R209">
        <f t="shared" ca="1" si="42"/>
        <v>27</v>
      </c>
      <c r="S209" t="str">
        <f t="shared" ca="1" si="43"/>
        <v>Late</v>
      </c>
      <c r="T209" t="str">
        <f t="shared" ca="1" si="44"/>
        <v>0-30</v>
      </c>
      <c r="U209">
        <f t="shared" ca="1" si="45"/>
        <v>12</v>
      </c>
      <c r="V209" t="str">
        <f t="shared" ca="1" si="46"/>
        <v>Inefficient</v>
      </c>
      <c r="W209">
        <f t="shared" si="47"/>
        <v>9180.4</v>
      </c>
    </row>
    <row r="210" spans="1:23" x14ac:dyDescent="0.35">
      <c r="A210" t="s">
        <v>235</v>
      </c>
      <c r="B210" t="s">
        <v>17</v>
      </c>
      <c r="C210" s="1">
        <v>45268</v>
      </c>
      <c r="D210" s="1">
        <v>45283</v>
      </c>
      <c r="E210" t="s">
        <v>24</v>
      </c>
      <c r="F210" t="s">
        <v>18</v>
      </c>
      <c r="G210">
        <v>1109</v>
      </c>
      <c r="H210">
        <v>38.93</v>
      </c>
      <c r="I210">
        <v>33.33</v>
      </c>
      <c r="J210">
        <v>152</v>
      </c>
      <c r="K210">
        <f t="shared" si="36"/>
        <v>957</v>
      </c>
      <c r="L210" t="s">
        <v>15</v>
      </c>
      <c r="M210" s="1">
        <f t="shared" si="37"/>
        <v>45283</v>
      </c>
      <c r="N210" t="str">
        <f t="shared" ca="1" si="38"/>
        <v>Net 15</v>
      </c>
      <c r="O210">
        <f t="shared" ca="1" si="39"/>
        <v>15</v>
      </c>
      <c r="P210" s="1">
        <f t="shared" ca="1" si="40"/>
        <v>45298</v>
      </c>
      <c r="Q210" s="1">
        <f t="shared" ca="1" si="41"/>
        <v>45309</v>
      </c>
      <c r="R210">
        <f t="shared" ca="1" si="42"/>
        <v>26</v>
      </c>
      <c r="S210" t="str">
        <f t="shared" ca="1" si="43"/>
        <v>Late</v>
      </c>
      <c r="T210" t="str">
        <f t="shared" ca="1" si="44"/>
        <v>0-30</v>
      </c>
      <c r="U210">
        <f t="shared" ca="1" si="45"/>
        <v>11</v>
      </c>
      <c r="V210" t="str">
        <f t="shared" ca="1" si="46"/>
        <v>Inefficient</v>
      </c>
      <c r="W210">
        <f t="shared" si="47"/>
        <v>36962.97</v>
      </c>
    </row>
    <row r="211" spans="1:23" x14ac:dyDescent="0.35">
      <c r="A211" t="s">
        <v>236</v>
      </c>
      <c r="B211" t="s">
        <v>23</v>
      </c>
      <c r="C211" s="1">
        <v>44767</v>
      </c>
      <c r="D211" s="1">
        <v>44774</v>
      </c>
      <c r="E211" t="s">
        <v>21</v>
      </c>
      <c r="F211" t="s">
        <v>18</v>
      </c>
      <c r="G211">
        <v>574</v>
      </c>
      <c r="H211">
        <v>85.03</v>
      </c>
      <c r="I211">
        <v>82.55</v>
      </c>
      <c r="J211">
        <v>54</v>
      </c>
      <c r="K211">
        <f t="shared" si="36"/>
        <v>520</v>
      </c>
      <c r="L211" t="s">
        <v>15</v>
      </c>
      <c r="M211" s="1">
        <f t="shared" si="37"/>
        <v>44774</v>
      </c>
      <c r="N211" t="str">
        <f t="shared" ca="1" si="38"/>
        <v>Net 45</v>
      </c>
      <c r="O211">
        <f t="shared" ca="1" si="39"/>
        <v>45</v>
      </c>
      <c r="P211" s="1">
        <f t="shared" ca="1" si="40"/>
        <v>44819</v>
      </c>
      <c r="Q211" s="1">
        <f t="shared" ca="1" si="41"/>
        <v>44816</v>
      </c>
      <c r="R211">
        <f t="shared" ca="1" si="42"/>
        <v>42</v>
      </c>
      <c r="S211" t="str">
        <f t="shared" ca="1" si="43"/>
        <v>On Time</v>
      </c>
      <c r="T211" t="str">
        <f t="shared" ca="1" si="44"/>
        <v>31-60</v>
      </c>
      <c r="U211">
        <f t="shared" ca="1" si="45"/>
        <v>0</v>
      </c>
      <c r="V211" t="str">
        <f t="shared" ca="1" si="46"/>
        <v>Efficient</v>
      </c>
      <c r="W211">
        <f t="shared" si="47"/>
        <v>47383.7</v>
      </c>
    </row>
    <row r="212" spans="1:23" x14ac:dyDescent="0.35">
      <c r="A212" t="s">
        <v>237</v>
      </c>
      <c r="B212" t="s">
        <v>20</v>
      </c>
      <c r="C212" s="1">
        <v>45292</v>
      </c>
      <c r="E212" t="s">
        <v>13</v>
      </c>
      <c r="F212" t="s">
        <v>18</v>
      </c>
      <c r="G212">
        <v>1233</v>
      </c>
      <c r="H212">
        <v>86.62</v>
      </c>
      <c r="I212">
        <v>76.59</v>
      </c>
      <c r="J212">
        <v>65</v>
      </c>
      <c r="K212">
        <f t="shared" si="36"/>
        <v>1168</v>
      </c>
      <c r="L212" t="s">
        <v>15</v>
      </c>
      <c r="M212" s="1">
        <f t="shared" si="37"/>
        <v>0</v>
      </c>
      <c r="N212" t="str">
        <f t="shared" ca="1" si="38"/>
        <v>Net 30</v>
      </c>
      <c r="O212">
        <f t="shared" ca="1" si="39"/>
        <v>30</v>
      </c>
      <c r="P212" s="1">
        <f t="shared" ca="1" si="40"/>
        <v>30</v>
      </c>
      <c r="Q212" s="1">
        <f t="shared" ca="1" si="41"/>
        <v>28</v>
      </c>
      <c r="R212">
        <f t="shared" ca="1" si="42"/>
        <v>28</v>
      </c>
      <c r="S212" t="str">
        <f t="shared" ca="1" si="43"/>
        <v>On Time</v>
      </c>
      <c r="T212" t="str">
        <f t="shared" ca="1" si="44"/>
        <v>0-30</v>
      </c>
      <c r="U212">
        <f t="shared" ca="1" si="45"/>
        <v>0</v>
      </c>
      <c r="V212" t="str">
        <f t="shared" ca="1" si="46"/>
        <v>Efficient</v>
      </c>
      <c r="W212">
        <f t="shared" si="47"/>
        <v>94435.47</v>
      </c>
    </row>
    <row r="213" spans="1:23" x14ac:dyDescent="0.35">
      <c r="A213" t="s">
        <v>238</v>
      </c>
      <c r="B213" t="s">
        <v>20</v>
      </c>
      <c r="C213" s="1">
        <v>44881</v>
      </c>
      <c r="D213" s="1">
        <v>44885</v>
      </c>
      <c r="E213" t="s">
        <v>24</v>
      </c>
      <c r="F213" t="s">
        <v>18</v>
      </c>
      <c r="G213">
        <v>1912</v>
      </c>
      <c r="H213">
        <v>27.94</v>
      </c>
      <c r="I213">
        <v>25.59</v>
      </c>
      <c r="J213">
        <v>83</v>
      </c>
      <c r="K213">
        <f t="shared" si="36"/>
        <v>1829</v>
      </c>
      <c r="L213" t="s">
        <v>27</v>
      </c>
      <c r="M213" s="1">
        <f t="shared" si="37"/>
        <v>44885</v>
      </c>
      <c r="N213" t="str">
        <f t="shared" ca="1" si="38"/>
        <v>Net 15</v>
      </c>
      <c r="O213">
        <f t="shared" ca="1" si="39"/>
        <v>15</v>
      </c>
      <c r="P213" s="1">
        <f t="shared" ca="1" si="40"/>
        <v>44900</v>
      </c>
      <c r="Q213" s="1">
        <f t="shared" ca="1" si="41"/>
        <v>44915</v>
      </c>
      <c r="R213">
        <f t="shared" ca="1" si="42"/>
        <v>30</v>
      </c>
      <c r="S213" t="str">
        <f t="shared" ca="1" si="43"/>
        <v>Late</v>
      </c>
      <c r="T213" t="str">
        <f t="shared" ca="1" si="44"/>
        <v>0-30</v>
      </c>
      <c r="U213">
        <f t="shared" ca="1" si="45"/>
        <v>15</v>
      </c>
      <c r="V213" t="str">
        <f t="shared" ca="1" si="46"/>
        <v>Inefficient</v>
      </c>
      <c r="W213">
        <f t="shared" si="47"/>
        <v>48928.08</v>
      </c>
    </row>
    <row r="214" spans="1:23" x14ac:dyDescent="0.35">
      <c r="A214" t="s">
        <v>239</v>
      </c>
      <c r="B214" t="s">
        <v>12</v>
      </c>
      <c r="C214" s="1">
        <v>44970</v>
      </c>
      <c r="D214" s="1">
        <v>44989</v>
      </c>
      <c r="E214" t="s">
        <v>24</v>
      </c>
      <c r="F214" t="s">
        <v>18</v>
      </c>
      <c r="G214">
        <v>1772</v>
      </c>
      <c r="H214">
        <v>30.72</v>
      </c>
      <c r="I214">
        <v>27.76</v>
      </c>
      <c r="J214">
        <v>46</v>
      </c>
      <c r="K214">
        <f t="shared" si="36"/>
        <v>1726</v>
      </c>
      <c r="L214" t="s">
        <v>27</v>
      </c>
      <c r="M214" s="1">
        <f t="shared" si="37"/>
        <v>44989</v>
      </c>
      <c r="N214" t="str">
        <f t="shared" ca="1" si="38"/>
        <v>Net 30</v>
      </c>
      <c r="O214">
        <f t="shared" ca="1" si="39"/>
        <v>30</v>
      </c>
      <c r="P214" s="1">
        <f t="shared" ca="1" si="40"/>
        <v>45019</v>
      </c>
      <c r="Q214" s="1">
        <f t="shared" ca="1" si="41"/>
        <v>45030</v>
      </c>
      <c r="R214">
        <f t="shared" ca="1" si="42"/>
        <v>41</v>
      </c>
      <c r="S214" t="str">
        <f t="shared" ca="1" si="43"/>
        <v>Late</v>
      </c>
      <c r="T214" t="str">
        <f t="shared" ca="1" si="44"/>
        <v>31-60</v>
      </c>
      <c r="U214">
        <f t="shared" ca="1" si="45"/>
        <v>11</v>
      </c>
      <c r="V214" t="str">
        <f t="shared" ca="1" si="46"/>
        <v>Inefficient</v>
      </c>
      <c r="W214">
        <f t="shared" si="47"/>
        <v>49190.720000000001</v>
      </c>
    </row>
    <row r="215" spans="1:23" x14ac:dyDescent="0.35">
      <c r="A215" t="s">
        <v>240</v>
      </c>
      <c r="B215" t="s">
        <v>23</v>
      </c>
      <c r="C215" s="1">
        <v>45249</v>
      </c>
      <c r="D215" s="1">
        <v>45259</v>
      </c>
      <c r="E215" t="s">
        <v>13</v>
      </c>
      <c r="F215" t="s">
        <v>18</v>
      </c>
      <c r="G215">
        <v>1316</v>
      </c>
      <c r="H215">
        <v>48.11</v>
      </c>
      <c r="I215">
        <v>41.9</v>
      </c>
      <c r="J215">
        <v>135</v>
      </c>
      <c r="K215">
        <f t="shared" si="36"/>
        <v>1181</v>
      </c>
      <c r="L215" t="s">
        <v>15</v>
      </c>
      <c r="M215" s="1">
        <f t="shared" si="37"/>
        <v>45259</v>
      </c>
      <c r="N215" t="str">
        <f t="shared" ca="1" si="38"/>
        <v>Net 30</v>
      </c>
      <c r="O215">
        <f t="shared" ca="1" si="39"/>
        <v>30</v>
      </c>
      <c r="P215" s="1">
        <f t="shared" ca="1" si="40"/>
        <v>45289</v>
      </c>
      <c r="Q215" s="1">
        <f t="shared" ca="1" si="41"/>
        <v>45302</v>
      </c>
      <c r="R215">
        <f t="shared" ca="1" si="42"/>
        <v>43</v>
      </c>
      <c r="S215" t="str">
        <f t="shared" ca="1" si="43"/>
        <v>Late</v>
      </c>
      <c r="T215" t="str">
        <f t="shared" ca="1" si="44"/>
        <v>31-60</v>
      </c>
      <c r="U215">
        <f t="shared" ca="1" si="45"/>
        <v>13</v>
      </c>
      <c r="V215" t="str">
        <f t="shared" ca="1" si="46"/>
        <v>Inefficient</v>
      </c>
      <c r="W215">
        <f t="shared" si="47"/>
        <v>55140.4</v>
      </c>
    </row>
    <row r="216" spans="1:23" x14ac:dyDescent="0.35">
      <c r="A216" t="s">
        <v>241</v>
      </c>
      <c r="B216" t="s">
        <v>23</v>
      </c>
      <c r="C216" s="1">
        <v>45227</v>
      </c>
      <c r="E216" t="s">
        <v>13</v>
      </c>
      <c r="F216" t="s">
        <v>18</v>
      </c>
      <c r="G216">
        <v>1159</v>
      </c>
      <c r="H216">
        <v>59.24</v>
      </c>
      <c r="I216">
        <v>58.08</v>
      </c>
      <c r="K216">
        <f t="shared" si="36"/>
        <v>1159</v>
      </c>
      <c r="L216" t="s">
        <v>15</v>
      </c>
      <c r="M216" s="1">
        <f t="shared" si="37"/>
        <v>0</v>
      </c>
      <c r="N216" t="str">
        <f t="shared" ca="1" si="38"/>
        <v>Net 15</v>
      </c>
      <c r="O216">
        <f t="shared" ca="1" si="39"/>
        <v>15</v>
      </c>
      <c r="P216" s="1">
        <f t="shared" ca="1" si="40"/>
        <v>15</v>
      </c>
      <c r="Q216" s="1">
        <f t="shared" ca="1" si="41"/>
        <v>26</v>
      </c>
      <c r="R216">
        <f t="shared" ca="1" si="42"/>
        <v>26</v>
      </c>
      <c r="S216" t="str">
        <f t="shared" ca="1" si="43"/>
        <v>Late</v>
      </c>
      <c r="T216" t="str">
        <f t="shared" ca="1" si="44"/>
        <v>0-30</v>
      </c>
      <c r="U216">
        <f t="shared" ca="1" si="45"/>
        <v>11</v>
      </c>
      <c r="V216" t="str">
        <f t="shared" ca="1" si="46"/>
        <v>Inefficient</v>
      </c>
      <c r="W216">
        <f t="shared" si="47"/>
        <v>67314.720000000001</v>
      </c>
    </row>
    <row r="217" spans="1:23" x14ac:dyDescent="0.35">
      <c r="A217" t="s">
        <v>242</v>
      </c>
      <c r="B217" t="s">
        <v>12</v>
      </c>
      <c r="C217" s="1">
        <v>44944</v>
      </c>
      <c r="D217" s="1">
        <v>44957</v>
      </c>
      <c r="E217" t="s">
        <v>13</v>
      </c>
      <c r="F217" t="s">
        <v>18</v>
      </c>
      <c r="G217">
        <v>1869</v>
      </c>
      <c r="H217">
        <v>69.58</v>
      </c>
      <c r="I217">
        <v>67.5</v>
      </c>
      <c r="J217">
        <v>31</v>
      </c>
      <c r="K217">
        <f t="shared" si="36"/>
        <v>1838</v>
      </c>
      <c r="L217" t="s">
        <v>15</v>
      </c>
      <c r="M217" s="1">
        <f t="shared" si="37"/>
        <v>44957</v>
      </c>
      <c r="N217" t="str">
        <f t="shared" ca="1" si="38"/>
        <v>Net 30</v>
      </c>
      <c r="O217">
        <f t="shared" ca="1" si="39"/>
        <v>30</v>
      </c>
      <c r="P217" s="1">
        <f t="shared" ca="1" si="40"/>
        <v>44987</v>
      </c>
      <c r="Q217" s="1">
        <f t="shared" ca="1" si="41"/>
        <v>45007</v>
      </c>
      <c r="R217">
        <f t="shared" ca="1" si="42"/>
        <v>50</v>
      </c>
      <c r="S217" t="str">
        <f t="shared" ca="1" si="43"/>
        <v>Late</v>
      </c>
      <c r="T217" t="str">
        <f t="shared" ca="1" si="44"/>
        <v>31-60</v>
      </c>
      <c r="U217">
        <f t="shared" ca="1" si="45"/>
        <v>20</v>
      </c>
      <c r="V217" t="str">
        <f t="shared" ca="1" si="46"/>
        <v>Inefficient</v>
      </c>
      <c r="W217">
        <f t="shared" si="47"/>
        <v>126157.5</v>
      </c>
    </row>
    <row r="218" spans="1:23" x14ac:dyDescent="0.35">
      <c r="A218" t="s">
        <v>243</v>
      </c>
      <c r="B218" t="s">
        <v>17</v>
      </c>
      <c r="C218" s="1">
        <v>45010</v>
      </c>
      <c r="D218" s="1">
        <v>45029</v>
      </c>
      <c r="E218" t="s">
        <v>24</v>
      </c>
      <c r="F218" t="s">
        <v>18</v>
      </c>
      <c r="G218">
        <v>627</v>
      </c>
      <c r="H218">
        <v>46.23</v>
      </c>
      <c r="I218">
        <v>42.87</v>
      </c>
      <c r="K218">
        <f t="shared" si="36"/>
        <v>627</v>
      </c>
      <c r="L218" t="s">
        <v>15</v>
      </c>
      <c r="M218" s="1">
        <f t="shared" si="37"/>
        <v>45029</v>
      </c>
      <c r="N218" t="str">
        <f t="shared" ca="1" si="38"/>
        <v>Net 30</v>
      </c>
      <c r="O218">
        <f t="shared" ca="1" si="39"/>
        <v>30</v>
      </c>
      <c r="P218" s="1">
        <f t="shared" ca="1" si="40"/>
        <v>45059</v>
      </c>
      <c r="Q218" s="1">
        <f t="shared" ca="1" si="41"/>
        <v>45068</v>
      </c>
      <c r="R218">
        <f t="shared" ca="1" si="42"/>
        <v>39</v>
      </c>
      <c r="S218" t="str">
        <f t="shared" ca="1" si="43"/>
        <v>Late</v>
      </c>
      <c r="T218" t="str">
        <f t="shared" ca="1" si="44"/>
        <v>31-60</v>
      </c>
      <c r="U218">
        <f t="shared" ca="1" si="45"/>
        <v>9</v>
      </c>
      <c r="V218" t="str">
        <f t="shared" ca="1" si="46"/>
        <v>Inefficient</v>
      </c>
      <c r="W218">
        <f t="shared" si="47"/>
        <v>26879.489999999998</v>
      </c>
    </row>
    <row r="219" spans="1:23" x14ac:dyDescent="0.35">
      <c r="A219" t="s">
        <v>244</v>
      </c>
      <c r="B219" t="s">
        <v>23</v>
      </c>
      <c r="C219" s="1">
        <v>45091</v>
      </c>
      <c r="D219" s="1">
        <v>45093</v>
      </c>
      <c r="E219" t="s">
        <v>26</v>
      </c>
      <c r="F219" t="s">
        <v>35</v>
      </c>
      <c r="G219">
        <v>731</v>
      </c>
      <c r="H219">
        <v>56.02</v>
      </c>
      <c r="I219">
        <v>54.78</v>
      </c>
      <c r="J219">
        <v>70</v>
      </c>
      <c r="K219">
        <f t="shared" si="36"/>
        <v>661</v>
      </c>
      <c r="L219" t="s">
        <v>27</v>
      </c>
      <c r="M219" s="1">
        <f t="shared" si="37"/>
        <v>45093</v>
      </c>
      <c r="N219" t="str">
        <f t="shared" ca="1" si="38"/>
        <v>Net 45</v>
      </c>
      <c r="O219">
        <f t="shared" ca="1" si="39"/>
        <v>45</v>
      </c>
      <c r="P219" s="1">
        <f t="shared" ca="1" si="40"/>
        <v>45138</v>
      </c>
      <c r="Q219" s="1">
        <f t="shared" ca="1" si="41"/>
        <v>45144</v>
      </c>
      <c r="R219">
        <f t="shared" ca="1" si="42"/>
        <v>51</v>
      </c>
      <c r="S219" t="str">
        <f t="shared" ca="1" si="43"/>
        <v>Late</v>
      </c>
      <c r="T219" t="str">
        <f t="shared" ca="1" si="44"/>
        <v>31-60</v>
      </c>
      <c r="U219">
        <f t="shared" ca="1" si="45"/>
        <v>6</v>
      </c>
      <c r="V219" t="str">
        <f t="shared" ca="1" si="46"/>
        <v>Inefficient</v>
      </c>
      <c r="W219">
        <f t="shared" si="47"/>
        <v>40044.18</v>
      </c>
    </row>
    <row r="220" spans="1:23" x14ac:dyDescent="0.35">
      <c r="A220" t="s">
        <v>245</v>
      </c>
      <c r="B220" t="s">
        <v>29</v>
      </c>
      <c r="C220" s="1">
        <v>45024</v>
      </c>
      <c r="E220" t="s">
        <v>13</v>
      </c>
      <c r="F220" t="s">
        <v>14</v>
      </c>
      <c r="G220">
        <v>606</v>
      </c>
      <c r="H220">
        <v>83.07</v>
      </c>
      <c r="I220">
        <v>79.22</v>
      </c>
      <c r="J220">
        <v>16</v>
      </c>
      <c r="K220">
        <f t="shared" si="36"/>
        <v>590</v>
      </c>
      <c r="L220" t="s">
        <v>15</v>
      </c>
      <c r="M220" s="1">
        <f t="shared" si="37"/>
        <v>0</v>
      </c>
      <c r="N220" t="str">
        <f t="shared" ca="1" si="38"/>
        <v>Net 15</v>
      </c>
      <c r="O220">
        <f t="shared" ca="1" si="39"/>
        <v>15</v>
      </c>
      <c r="P220" s="1">
        <f t="shared" ca="1" si="40"/>
        <v>15</v>
      </c>
      <c r="Q220" s="1">
        <f t="shared" ca="1" si="41"/>
        <v>29</v>
      </c>
      <c r="R220">
        <f t="shared" ca="1" si="42"/>
        <v>29</v>
      </c>
      <c r="S220" t="str">
        <f t="shared" ca="1" si="43"/>
        <v>Late</v>
      </c>
      <c r="T220" t="str">
        <f t="shared" ca="1" si="44"/>
        <v>0-30</v>
      </c>
      <c r="U220">
        <f t="shared" ca="1" si="45"/>
        <v>14</v>
      </c>
      <c r="V220" t="str">
        <f t="shared" ca="1" si="46"/>
        <v>Inefficient</v>
      </c>
      <c r="W220">
        <f t="shared" si="47"/>
        <v>48007.32</v>
      </c>
    </row>
    <row r="221" spans="1:23" x14ac:dyDescent="0.35">
      <c r="A221" t="s">
        <v>246</v>
      </c>
      <c r="B221" t="s">
        <v>23</v>
      </c>
      <c r="C221" s="1">
        <v>44685</v>
      </c>
      <c r="D221" s="1">
        <v>44695</v>
      </c>
      <c r="E221" t="s">
        <v>13</v>
      </c>
      <c r="F221" t="s">
        <v>18</v>
      </c>
      <c r="G221">
        <v>1647</v>
      </c>
      <c r="H221">
        <v>13.57</v>
      </c>
      <c r="I221">
        <v>12.33</v>
      </c>
      <c r="J221">
        <v>157</v>
      </c>
      <c r="K221">
        <f t="shared" si="36"/>
        <v>1490</v>
      </c>
      <c r="L221" t="s">
        <v>15</v>
      </c>
      <c r="M221" s="1">
        <f t="shared" si="37"/>
        <v>44695</v>
      </c>
      <c r="N221" t="str">
        <f t="shared" ca="1" si="38"/>
        <v>Net 15</v>
      </c>
      <c r="O221">
        <f t="shared" ca="1" si="39"/>
        <v>15</v>
      </c>
      <c r="P221" s="1">
        <f t="shared" ca="1" si="40"/>
        <v>44710</v>
      </c>
      <c r="Q221" s="1">
        <f t="shared" ca="1" si="41"/>
        <v>44709</v>
      </c>
      <c r="R221">
        <f t="shared" ca="1" si="42"/>
        <v>14</v>
      </c>
      <c r="S221" t="str">
        <f t="shared" ca="1" si="43"/>
        <v>On Time</v>
      </c>
      <c r="T221" t="str">
        <f t="shared" ca="1" si="44"/>
        <v>0-30</v>
      </c>
      <c r="U221">
        <f t="shared" ca="1" si="45"/>
        <v>0</v>
      </c>
      <c r="V221" t="str">
        <f t="shared" ca="1" si="46"/>
        <v>Efficient</v>
      </c>
      <c r="W221">
        <f t="shared" si="47"/>
        <v>20307.509999999998</v>
      </c>
    </row>
    <row r="222" spans="1:23" x14ac:dyDescent="0.35">
      <c r="A222" t="s">
        <v>247</v>
      </c>
      <c r="B222" t="s">
        <v>17</v>
      </c>
      <c r="C222" s="1">
        <v>44815</v>
      </c>
      <c r="D222" s="1">
        <v>44823</v>
      </c>
      <c r="E222" t="s">
        <v>21</v>
      </c>
      <c r="F222" t="s">
        <v>18</v>
      </c>
      <c r="G222">
        <v>1062</v>
      </c>
      <c r="H222">
        <v>34.03</v>
      </c>
      <c r="I222">
        <v>30.46</v>
      </c>
      <c r="K222">
        <f t="shared" si="36"/>
        <v>1062</v>
      </c>
      <c r="L222" t="s">
        <v>15</v>
      </c>
      <c r="M222" s="1">
        <f t="shared" si="37"/>
        <v>44823</v>
      </c>
      <c r="N222" t="str">
        <f t="shared" ca="1" si="38"/>
        <v>Net 15</v>
      </c>
      <c r="O222">
        <f t="shared" ca="1" si="39"/>
        <v>15</v>
      </c>
      <c r="P222" s="1">
        <f t="shared" ca="1" si="40"/>
        <v>44838</v>
      </c>
      <c r="Q222" s="1">
        <f t="shared" ca="1" si="41"/>
        <v>44855</v>
      </c>
      <c r="R222">
        <f t="shared" ca="1" si="42"/>
        <v>32</v>
      </c>
      <c r="S222" t="str">
        <f t="shared" ca="1" si="43"/>
        <v>Late</v>
      </c>
      <c r="T222" t="str">
        <f t="shared" ca="1" si="44"/>
        <v>31-60</v>
      </c>
      <c r="U222">
        <f t="shared" ca="1" si="45"/>
        <v>17</v>
      </c>
      <c r="V222" t="str">
        <f t="shared" ca="1" si="46"/>
        <v>Inefficient</v>
      </c>
      <c r="W222">
        <f t="shared" si="47"/>
        <v>32348.52</v>
      </c>
    </row>
    <row r="223" spans="1:23" x14ac:dyDescent="0.35">
      <c r="A223" t="s">
        <v>248</v>
      </c>
      <c r="B223" t="s">
        <v>23</v>
      </c>
      <c r="C223" s="1">
        <v>44792</v>
      </c>
      <c r="D223" s="1">
        <v>44804</v>
      </c>
      <c r="E223" t="s">
        <v>13</v>
      </c>
      <c r="F223" t="s">
        <v>18</v>
      </c>
      <c r="G223">
        <v>695</v>
      </c>
      <c r="H223">
        <v>76.8</v>
      </c>
      <c r="I223">
        <v>69.760000000000005</v>
      </c>
      <c r="K223">
        <f t="shared" si="36"/>
        <v>695</v>
      </c>
      <c r="L223" t="s">
        <v>27</v>
      </c>
      <c r="M223" s="1">
        <f t="shared" si="37"/>
        <v>44804</v>
      </c>
      <c r="N223" t="str">
        <f t="shared" ca="1" si="38"/>
        <v>Net 30</v>
      </c>
      <c r="O223">
        <f t="shared" ca="1" si="39"/>
        <v>30</v>
      </c>
      <c r="P223" s="1">
        <f t="shared" ca="1" si="40"/>
        <v>44834</v>
      </c>
      <c r="Q223" s="1">
        <f t="shared" ca="1" si="41"/>
        <v>44848</v>
      </c>
      <c r="R223">
        <f t="shared" ca="1" si="42"/>
        <v>44</v>
      </c>
      <c r="S223" t="str">
        <f t="shared" ca="1" si="43"/>
        <v>Late</v>
      </c>
      <c r="T223" t="str">
        <f t="shared" ca="1" si="44"/>
        <v>31-60</v>
      </c>
      <c r="U223">
        <f t="shared" ca="1" si="45"/>
        <v>14</v>
      </c>
      <c r="V223" t="str">
        <f t="shared" ca="1" si="46"/>
        <v>Inefficient</v>
      </c>
      <c r="W223">
        <f t="shared" si="47"/>
        <v>48483.200000000004</v>
      </c>
    </row>
    <row r="224" spans="1:23" x14ac:dyDescent="0.35">
      <c r="A224" t="s">
        <v>249</v>
      </c>
      <c r="B224" t="s">
        <v>29</v>
      </c>
      <c r="C224" s="1">
        <v>44627</v>
      </c>
      <c r="D224" s="1">
        <v>44634</v>
      </c>
      <c r="E224" t="s">
        <v>21</v>
      </c>
      <c r="F224" t="s">
        <v>18</v>
      </c>
      <c r="G224">
        <v>845</v>
      </c>
      <c r="H224">
        <v>91.47</v>
      </c>
      <c r="I224">
        <v>86.97</v>
      </c>
      <c r="K224">
        <f t="shared" si="36"/>
        <v>845</v>
      </c>
      <c r="L224" t="s">
        <v>15</v>
      </c>
      <c r="M224" s="1">
        <f t="shared" si="37"/>
        <v>44634</v>
      </c>
      <c r="N224" t="str">
        <f t="shared" ca="1" si="38"/>
        <v>Net 30</v>
      </c>
      <c r="O224">
        <f t="shared" ca="1" si="39"/>
        <v>30</v>
      </c>
      <c r="P224" s="1">
        <f t="shared" ca="1" si="40"/>
        <v>44664</v>
      </c>
      <c r="Q224" s="1">
        <f t="shared" ca="1" si="41"/>
        <v>44684</v>
      </c>
      <c r="R224">
        <f t="shared" ca="1" si="42"/>
        <v>50</v>
      </c>
      <c r="S224" t="str">
        <f t="shared" ca="1" si="43"/>
        <v>Late</v>
      </c>
      <c r="T224" t="str">
        <f t="shared" ca="1" si="44"/>
        <v>31-60</v>
      </c>
      <c r="U224">
        <f t="shared" ca="1" si="45"/>
        <v>20</v>
      </c>
      <c r="V224" t="str">
        <f t="shared" ca="1" si="46"/>
        <v>Inefficient</v>
      </c>
      <c r="W224">
        <f t="shared" si="47"/>
        <v>73489.649999999994</v>
      </c>
    </row>
    <row r="225" spans="1:23" x14ac:dyDescent="0.35">
      <c r="A225" t="s">
        <v>250</v>
      </c>
      <c r="B225" t="s">
        <v>20</v>
      </c>
      <c r="C225" s="1">
        <v>44908</v>
      </c>
      <c r="D225" s="1">
        <v>44913</v>
      </c>
      <c r="E225" t="s">
        <v>21</v>
      </c>
      <c r="F225" t="s">
        <v>18</v>
      </c>
      <c r="G225">
        <v>1101</v>
      </c>
      <c r="H225">
        <v>59.13</v>
      </c>
      <c r="I225">
        <v>52.51</v>
      </c>
      <c r="J225">
        <v>54</v>
      </c>
      <c r="K225">
        <f t="shared" si="36"/>
        <v>1047</v>
      </c>
      <c r="L225" t="s">
        <v>15</v>
      </c>
      <c r="M225" s="1">
        <f t="shared" si="37"/>
        <v>44913</v>
      </c>
      <c r="N225" t="str">
        <f t="shared" ca="1" si="38"/>
        <v>Net 30</v>
      </c>
      <c r="O225">
        <f t="shared" ca="1" si="39"/>
        <v>30</v>
      </c>
      <c r="P225" s="1">
        <f t="shared" ca="1" si="40"/>
        <v>44943</v>
      </c>
      <c r="Q225" s="1">
        <f t="shared" ca="1" si="41"/>
        <v>44953</v>
      </c>
      <c r="R225">
        <f t="shared" ca="1" si="42"/>
        <v>40</v>
      </c>
      <c r="S225" t="str">
        <f t="shared" ca="1" si="43"/>
        <v>Late</v>
      </c>
      <c r="T225" t="str">
        <f t="shared" ca="1" si="44"/>
        <v>31-60</v>
      </c>
      <c r="U225">
        <f t="shared" ca="1" si="45"/>
        <v>10</v>
      </c>
      <c r="V225" t="str">
        <f t="shared" ca="1" si="46"/>
        <v>Inefficient</v>
      </c>
      <c r="W225">
        <f t="shared" si="47"/>
        <v>57813.509999999995</v>
      </c>
    </row>
    <row r="226" spans="1:23" x14ac:dyDescent="0.35">
      <c r="A226" t="s">
        <v>251</v>
      </c>
      <c r="B226" t="s">
        <v>20</v>
      </c>
      <c r="C226" s="1">
        <v>44583</v>
      </c>
      <c r="D226" s="1">
        <v>44585</v>
      </c>
      <c r="E226" t="s">
        <v>26</v>
      </c>
      <c r="F226" t="s">
        <v>18</v>
      </c>
      <c r="G226">
        <v>1693</v>
      </c>
      <c r="H226">
        <v>57.89</v>
      </c>
      <c r="I226">
        <v>49.84</v>
      </c>
      <c r="J226">
        <v>88</v>
      </c>
      <c r="K226">
        <f t="shared" si="36"/>
        <v>1605</v>
      </c>
      <c r="L226" t="s">
        <v>15</v>
      </c>
      <c r="M226" s="1">
        <f t="shared" si="37"/>
        <v>44585</v>
      </c>
      <c r="N226" t="str">
        <f t="shared" ca="1" si="38"/>
        <v>Net 15</v>
      </c>
      <c r="O226">
        <f t="shared" ca="1" si="39"/>
        <v>15</v>
      </c>
      <c r="P226" s="1">
        <f t="shared" ca="1" si="40"/>
        <v>44600</v>
      </c>
      <c r="Q226" s="1">
        <f t="shared" ca="1" si="41"/>
        <v>44597</v>
      </c>
      <c r="R226">
        <f t="shared" ca="1" si="42"/>
        <v>12</v>
      </c>
      <c r="S226" t="str">
        <f t="shared" ca="1" si="43"/>
        <v>On Time</v>
      </c>
      <c r="T226" t="str">
        <f t="shared" ca="1" si="44"/>
        <v>0-30</v>
      </c>
      <c r="U226">
        <f t="shared" ca="1" si="45"/>
        <v>0</v>
      </c>
      <c r="V226" t="str">
        <f t="shared" ca="1" si="46"/>
        <v>Efficient</v>
      </c>
      <c r="W226">
        <f t="shared" si="47"/>
        <v>84379.12000000001</v>
      </c>
    </row>
    <row r="227" spans="1:23" x14ac:dyDescent="0.35">
      <c r="A227" t="s">
        <v>252</v>
      </c>
      <c r="B227" t="s">
        <v>17</v>
      </c>
      <c r="C227" s="1">
        <v>45164</v>
      </c>
      <c r="D227" s="1">
        <v>45179</v>
      </c>
      <c r="E227" t="s">
        <v>13</v>
      </c>
      <c r="F227" t="s">
        <v>14</v>
      </c>
      <c r="G227">
        <v>1629</v>
      </c>
      <c r="H227">
        <v>21.51</v>
      </c>
      <c r="I227">
        <v>19.41</v>
      </c>
      <c r="J227">
        <v>250</v>
      </c>
      <c r="K227">
        <f t="shared" si="36"/>
        <v>1379</v>
      </c>
      <c r="L227" t="s">
        <v>27</v>
      </c>
      <c r="M227" s="1">
        <f t="shared" si="37"/>
        <v>45179</v>
      </c>
      <c r="N227" t="str">
        <f t="shared" ca="1" si="38"/>
        <v>Net 15</v>
      </c>
      <c r="O227">
        <f t="shared" ca="1" si="39"/>
        <v>15</v>
      </c>
      <c r="P227" s="1">
        <f t="shared" ca="1" si="40"/>
        <v>45194</v>
      </c>
      <c r="Q227" s="1">
        <f t="shared" ca="1" si="41"/>
        <v>45192</v>
      </c>
      <c r="R227">
        <f t="shared" ca="1" si="42"/>
        <v>13</v>
      </c>
      <c r="S227" t="str">
        <f t="shared" ca="1" si="43"/>
        <v>On Time</v>
      </c>
      <c r="T227" t="str">
        <f t="shared" ca="1" si="44"/>
        <v>0-30</v>
      </c>
      <c r="U227">
        <f t="shared" ca="1" si="45"/>
        <v>0</v>
      </c>
      <c r="V227" t="str">
        <f t="shared" ca="1" si="46"/>
        <v>Efficient</v>
      </c>
      <c r="W227">
        <f t="shared" si="47"/>
        <v>31618.89</v>
      </c>
    </row>
    <row r="228" spans="1:23" x14ac:dyDescent="0.35">
      <c r="A228" t="s">
        <v>253</v>
      </c>
      <c r="B228" t="s">
        <v>17</v>
      </c>
      <c r="C228" s="1">
        <v>45129</v>
      </c>
      <c r="D228" s="1">
        <v>45141</v>
      </c>
      <c r="E228" t="s">
        <v>26</v>
      </c>
      <c r="F228" t="s">
        <v>18</v>
      </c>
      <c r="G228">
        <v>1413</v>
      </c>
      <c r="H228">
        <v>54.79</v>
      </c>
      <c r="I228">
        <v>50.42</v>
      </c>
      <c r="K228">
        <f t="shared" si="36"/>
        <v>1413</v>
      </c>
      <c r="L228" t="s">
        <v>15</v>
      </c>
      <c r="M228" s="1">
        <f t="shared" si="37"/>
        <v>45141</v>
      </c>
      <c r="N228" t="str">
        <f t="shared" ca="1" si="38"/>
        <v>Net 15</v>
      </c>
      <c r="O228">
        <f t="shared" ca="1" si="39"/>
        <v>15</v>
      </c>
      <c r="P228" s="1">
        <f t="shared" ca="1" si="40"/>
        <v>45156</v>
      </c>
      <c r="Q228" s="1">
        <f t="shared" ca="1" si="41"/>
        <v>45166</v>
      </c>
      <c r="R228">
        <f t="shared" ca="1" si="42"/>
        <v>25</v>
      </c>
      <c r="S228" t="str">
        <f t="shared" ca="1" si="43"/>
        <v>Late</v>
      </c>
      <c r="T228" t="str">
        <f t="shared" ca="1" si="44"/>
        <v>0-30</v>
      </c>
      <c r="U228">
        <f t="shared" ca="1" si="45"/>
        <v>10</v>
      </c>
      <c r="V228" t="str">
        <f t="shared" ca="1" si="46"/>
        <v>Inefficient</v>
      </c>
      <c r="W228">
        <f t="shared" si="47"/>
        <v>71243.460000000006</v>
      </c>
    </row>
    <row r="229" spans="1:23" x14ac:dyDescent="0.35">
      <c r="A229" t="s">
        <v>254</v>
      </c>
      <c r="B229" t="s">
        <v>29</v>
      </c>
      <c r="C229" s="1">
        <v>44797</v>
      </c>
      <c r="D229" s="1">
        <v>44800</v>
      </c>
      <c r="E229" t="s">
        <v>24</v>
      </c>
      <c r="F229" t="s">
        <v>18</v>
      </c>
      <c r="G229">
        <v>1871</v>
      </c>
      <c r="H229">
        <v>59.96</v>
      </c>
      <c r="I229">
        <v>58.54</v>
      </c>
      <c r="J229">
        <v>47</v>
      </c>
      <c r="K229">
        <f t="shared" si="36"/>
        <v>1824</v>
      </c>
      <c r="L229" t="s">
        <v>15</v>
      </c>
      <c r="M229" s="1">
        <f t="shared" si="37"/>
        <v>44800</v>
      </c>
      <c r="N229" t="str">
        <f t="shared" ca="1" si="38"/>
        <v>Net 30</v>
      </c>
      <c r="O229">
        <f t="shared" ca="1" si="39"/>
        <v>30</v>
      </c>
      <c r="P229" s="1">
        <f t="shared" ca="1" si="40"/>
        <v>44830</v>
      </c>
      <c r="Q229" s="1">
        <f t="shared" ca="1" si="41"/>
        <v>44826</v>
      </c>
      <c r="R229">
        <f t="shared" ca="1" si="42"/>
        <v>26</v>
      </c>
      <c r="S229" t="str">
        <f t="shared" ca="1" si="43"/>
        <v>On Time</v>
      </c>
      <c r="T229" t="str">
        <f t="shared" ca="1" si="44"/>
        <v>0-30</v>
      </c>
      <c r="U229">
        <f t="shared" ca="1" si="45"/>
        <v>0</v>
      </c>
      <c r="V229" t="str">
        <f t="shared" ca="1" si="46"/>
        <v>Efficient</v>
      </c>
      <c r="W229">
        <f t="shared" si="47"/>
        <v>109528.34</v>
      </c>
    </row>
    <row r="230" spans="1:23" x14ac:dyDescent="0.35">
      <c r="A230" t="s">
        <v>255</v>
      </c>
      <c r="B230" t="s">
        <v>20</v>
      </c>
      <c r="C230" s="1">
        <v>45164</v>
      </c>
      <c r="E230" t="s">
        <v>26</v>
      </c>
      <c r="F230" t="s">
        <v>18</v>
      </c>
      <c r="G230">
        <v>1404</v>
      </c>
      <c r="H230">
        <v>34.85</v>
      </c>
      <c r="I230">
        <v>30.5</v>
      </c>
      <c r="J230">
        <v>78</v>
      </c>
      <c r="K230">
        <f t="shared" si="36"/>
        <v>1326</v>
      </c>
      <c r="L230" t="s">
        <v>15</v>
      </c>
      <c r="M230" s="1">
        <f t="shared" si="37"/>
        <v>0</v>
      </c>
      <c r="N230" t="str">
        <f t="shared" ca="1" si="38"/>
        <v>Net 45</v>
      </c>
      <c r="O230">
        <f t="shared" ca="1" si="39"/>
        <v>45</v>
      </c>
      <c r="P230" s="1">
        <f t="shared" ca="1" si="40"/>
        <v>45</v>
      </c>
      <c r="Q230" s="1">
        <f t="shared" ca="1" si="41"/>
        <v>49</v>
      </c>
      <c r="R230">
        <f t="shared" ca="1" si="42"/>
        <v>49</v>
      </c>
      <c r="S230" t="str">
        <f t="shared" ca="1" si="43"/>
        <v>Late</v>
      </c>
      <c r="T230" t="str">
        <f t="shared" ca="1" si="44"/>
        <v>31-60</v>
      </c>
      <c r="U230">
        <f t="shared" ca="1" si="45"/>
        <v>4</v>
      </c>
      <c r="V230" t="str">
        <f t="shared" ca="1" si="46"/>
        <v>Inefficient</v>
      </c>
      <c r="W230">
        <f t="shared" si="47"/>
        <v>42822</v>
      </c>
    </row>
    <row r="231" spans="1:23" x14ac:dyDescent="0.35">
      <c r="A231" t="s">
        <v>256</v>
      </c>
      <c r="B231" t="s">
        <v>20</v>
      </c>
      <c r="C231" s="1">
        <v>44787</v>
      </c>
      <c r="D231" s="1">
        <v>44801</v>
      </c>
      <c r="E231" t="s">
        <v>39</v>
      </c>
      <c r="F231" t="s">
        <v>18</v>
      </c>
      <c r="G231">
        <v>1713</v>
      </c>
      <c r="H231">
        <v>35.43</v>
      </c>
      <c r="I231">
        <v>34.11</v>
      </c>
      <c r="J231">
        <v>74</v>
      </c>
      <c r="K231">
        <f t="shared" si="36"/>
        <v>1639</v>
      </c>
      <c r="L231" t="s">
        <v>15</v>
      </c>
      <c r="M231" s="1">
        <f t="shared" si="37"/>
        <v>44801</v>
      </c>
      <c r="N231" t="str">
        <f t="shared" ca="1" si="38"/>
        <v>Net 15</v>
      </c>
      <c r="O231">
        <f t="shared" ca="1" si="39"/>
        <v>15</v>
      </c>
      <c r="P231" s="1">
        <f t="shared" ca="1" si="40"/>
        <v>44816</v>
      </c>
      <c r="Q231" s="1">
        <f t="shared" ca="1" si="41"/>
        <v>44814</v>
      </c>
      <c r="R231">
        <f t="shared" ca="1" si="42"/>
        <v>13</v>
      </c>
      <c r="S231" t="str">
        <f t="shared" ca="1" si="43"/>
        <v>On Time</v>
      </c>
      <c r="T231" t="str">
        <f t="shared" ca="1" si="44"/>
        <v>0-30</v>
      </c>
      <c r="U231">
        <f t="shared" ca="1" si="45"/>
        <v>0</v>
      </c>
      <c r="V231" t="str">
        <f t="shared" ca="1" si="46"/>
        <v>Efficient</v>
      </c>
      <c r="W231">
        <f t="shared" si="47"/>
        <v>58430.43</v>
      </c>
    </row>
    <row r="232" spans="1:23" x14ac:dyDescent="0.35">
      <c r="A232" t="s">
        <v>257</v>
      </c>
      <c r="B232" t="s">
        <v>20</v>
      </c>
      <c r="C232" s="1">
        <v>44569</v>
      </c>
      <c r="D232" s="1">
        <v>44574</v>
      </c>
      <c r="E232" t="s">
        <v>39</v>
      </c>
      <c r="F232" t="s">
        <v>18</v>
      </c>
      <c r="G232">
        <v>1579</v>
      </c>
      <c r="H232">
        <v>43.96</v>
      </c>
      <c r="I232">
        <v>43.41</v>
      </c>
      <c r="J232">
        <v>74</v>
      </c>
      <c r="K232">
        <f t="shared" si="36"/>
        <v>1505</v>
      </c>
      <c r="L232" t="s">
        <v>15</v>
      </c>
      <c r="M232" s="1">
        <f t="shared" si="37"/>
        <v>44574</v>
      </c>
      <c r="N232" t="str">
        <f t="shared" ca="1" si="38"/>
        <v>Net 30</v>
      </c>
      <c r="O232">
        <f t="shared" ca="1" si="39"/>
        <v>30</v>
      </c>
      <c r="P232" s="1">
        <f t="shared" ca="1" si="40"/>
        <v>44604</v>
      </c>
      <c r="Q232" s="1">
        <f t="shared" ca="1" si="41"/>
        <v>44609</v>
      </c>
      <c r="R232">
        <f t="shared" ca="1" si="42"/>
        <v>35</v>
      </c>
      <c r="S232" t="str">
        <f t="shared" ca="1" si="43"/>
        <v>Late</v>
      </c>
      <c r="T232" t="str">
        <f t="shared" ca="1" si="44"/>
        <v>31-60</v>
      </c>
      <c r="U232">
        <f t="shared" ca="1" si="45"/>
        <v>5</v>
      </c>
      <c r="V232" t="str">
        <f t="shared" ca="1" si="46"/>
        <v>Inefficient</v>
      </c>
      <c r="W232">
        <f t="shared" si="47"/>
        <v>68544.39</v>
      </c>
    </row>
    <row r="233" spans="1:23" x14ac:dyDescent="0.35">
      <c r="A233" t="s">
        <v>258</v>
      </c>
      <c r="B233" t="s">
        <v>20</v>
      </c>
      <c r="C233" s="1">
        <v>44634</v>
      </c>
      <c r="D233" s="1">
        <v>44646</v>
      </c>
      <c r="E233" t="s">
        <v>39</v>
      </c>
      <c r="F233" t="s">
        <v>18</v>
      </c>
      <c r="G233">
        <v>1421</v>
      </c>
      <c r="H233">
        <v>11.92</v>
      </c>
      <c r="I233">
        <v>11.72</v>
      </c>
      <c r="J233">
        <v>76</v>
      </c>
      <c r="K233">
        <f t="shared" si="36"/>
        <v>1345</v>
      </c>
      <c r="L233" t="s">
        <v>15</v>
      </c>
      <c r="M233" s="1">
        <f t="shared" si="37"/>
        <v>44646</v>
      </c>
      <c r="N233" t="str">
        <f t="shared" ca="1" si="38"/>
        <v>Net 45</v>
      </c>
      <c r="O233">
        <f t="shared" ca="1" si="39"/>
        <v>45</v>
      </c>
      <c r="P233" s="1">
        <f t="shared" ca="1" si="40"/>
        <v>44691</v>
      </c>
      <c r="Q233" s="1">
        <f t="shared" ca="1" si="41"/>
        <v>44710</v>
      </c>
      <c r="R233">
        <f t="shared" ca="1" si="42"/>
        <v>64</v>
      </c>
      <c r="S233" t="str">
        <f t="shared" ca="1" si="43"/>
        <v>Late</v>
      </c>
      <c r="T233" t="str">
        <f t="shared" ca="1" si="44"/>
        <v>61-90</v>
      </c>
      <c r="U233">
        <f t="shared" ca="1" si="45"/>
        <v>19</v>
      </c>
      <c r="V233" t="str">
        <f t="shared" ca="1" si="46"/>
        <v>Inefficient</v>
      </c>
      <c r="W233">
        <f t="shared" si="47"/>
        <v>16654.120000000003</v>
      </c>
    </row>
    <row r="234" spans="1:23" x14ac:dyDescent="0.35">
      <c r="A234" t="s">
        <v>259</v>
      </c>
      <c r="B234" t="s">
        <v>29</v>
      </c>
      <c r="C234" s="1">
        <v>45286</v>
      </c>
      <c r="D234" s="1">
        <v>45295</v>
      </c>
      <c r="E234" t="s">
        <v>21</v>
      </c>
      <c r="F234" t="s">
        <v>18</v>
      </c>
      <c r="G234">
        <v>1546</v>
      </c>
      <c r="H234">
        <v>43.47</v>
      </c>
      <c r="I234">
        <v>37.369999999999997</v>
      </c>
      <c r="J234">
        <v>53</v>
      </c>
      <c r="K234">
        <f t="shared" si="36"/>
        <v>1493</v>
      </c>
      <c r="L234" t="s">
        <v>15</v>
      </c>
      <c r="M234" s="1">
        <f t="shared" si="37"/>
        <v>45295</v>
      </c>
      <c r="N234" t="str">
        <f t="shared" ca="1" si="38"/>
        <v>Net 15</v>
      </c>
      <c r="O234">
        <f t="shared" ca="1" si="39"/>
        <v>15</v>
      </c>
      <c r="P234" s="1">
        <f t="shared" ca="1" si="40"/>
        <v>45310</v>
      </c>
      <c r="Q234" s="1">
        <f t="shared" ca="1" si="41"/>
        <v>45330</v>
      </c>
      <c r="R234">
        <f t="shared" ca="1" si="42"/>
        <v>35</v>
      </c>
      <c r="S234" t="str">
        <f t="shared" ca="1" si="43"/>
        <v>Late</v>
      </c>
      <c r="T234" t="str">
        <f t="shared" ca="1" si="44"/>
        <v>31-60</v>
      </c>
      <c r="U234">
        <f t="shared" ca="1" si="45"/>
        <v>20</v>
      </c>
      <c r="V234" t="str">
        <f t="shared" ca="1" si="46"/>
        <v>Inefficient</v>
      </c>
      <c r="W234">
        <f t="shared" si="47"/>
        <v>57774.02</v>
      </c>
    </row>
    <row r="235" spans="1:23" x14ac:dyDescent="0.35">
      <c r="A235" t="s">
        <v>260</v>
      </c>
      <c r="B235" t="s">
        <v>17</v>
      </c>
      <c r="C235" s="1">
        <v>45208</v>
      </c>
      <c r="D235" s="1">
        <v>45217</v>
      </c>
      <c r="E235" t="s">
        <v>39</v>
      </c>
      <c r="F235" t="s">
        <v>18</v>
      </c>
      <c r="G235">
        <v>1304</v>
      </c>
      <c r="H235">
        <v>32.08</v>
      </c>
      <c r="I235">
        <v>29.36</v>
      </c>
      <c r="K235">
        <f t="shared" si="36"/>
        <v>1304</v>
      </c>
      <c r="L235" t="s">
        <v>15</v>
      </c>
      <c r="M235" s="1">
        <f t="shared" si="37"/>
        <v>45217</v>
      </c>
      <c r="N235" t="str">
        <f t="shared" ca="1" si="38"/>
        <v>Net 45</v>
      </c>
      <c r="O235">
        <f t="shared" ca="1" si="39"/>
        <v>45</v>
      </c>
      <c r="P235" s="1">
        <f t="shared" ca="1" si="40"/>
        <v>45262</v>
      </c>
      <c r="Q235" s="1">
        <f t="shared" ca="1" si="41"/>
        <v>45278</v>
      </c>
      <c r="R235">
        <f t="shared" ca="1" si="42"/>
        <v>61</v>
      </c>
      <c r="S235" t="str">
        <f t="shared" ca="1" si="43"/>
        <v>Late</v>
      </c>
      <c r="T235" t="str">
        <f t="shared" ca="1" si="44"/>
        <v>61-90</v>
      </c>
      <c r="U235">
        <f t="shared" ca="1" si="45"/>
        <v>16</v>
      </c>
      <c r="V235" t="str">
        <f t="shared" ca="1" si="46"/>
        <v>Inefficient</v>
      </c>
      <c r="W235">
        <f t="shared" si="47"/>
        <v>38285.440000000002</v>
      </c>
    </row>
    <row r="236" spans="1:23" x14ac:dyDescent="0.35">
      <c r="A236" t="s">
        <v>261</v>
      </c>
      <c r="B236" t="s">
        <v>17</v>
      </c>
      <c r="C236" s="1">
        <v>44622</v>
      </c>
      <c r="E236" t="s">
        <v>26</v>
      </c>
      <c r="F236" t="s">
        <v>18</v>
      </c>
      <c r="G236">
        <v>239</v>
      </c>
      <c r="H236">
        <v>39.869999999999997</v>
      </c>
      <c r="I236">
        <v>35.47</v>
      </c>
      <c r="J236">
        <v>32</v>
      </c>
      <c r="K236">
        <f t="shared" si="36"/>
        <v>207</v>
      </c>
      <c r="L236" t="s">
        <v>15</v>
      </c>
      <c r="M236" s="1">
        <f t="shared" si="37"/>
        <v>0</v>
      </c>
      <c r="N236" t="str">
        <f t="shared" ca="1" si="38"/>
        <v>Net 30</v>
      </c>
      <c r="O236">
        <f t="shared" ca="1" si="39"/>
        <v>30</v>
      </c>
      <c r="P236" s="1">
        <f t="shared" ca="1" si="40"/>
        <v>30</v>
      </c>
      <c r="Q236" s="1">
        <f t="shared" ca="1" si="41"/>
        <v>29</v>
      </c>
      <c r="R236">
        <f t="shared" ca="1" si="42"/>
        <v>29</v>
      </c>
      <c r="S236" t="str">
        <f t="shared" ca="1" si="43"/>
        <v>On Time</v>
      </c>
      <c r="T236" t="str">
        <f t="shared" ca="1" si="44"/>
        <v>0-30</v>
      </c>
      <c r="U236">
        <f t="shared" ca="1" si="45"/>
        <v>0</v>
      </c>
      <c r="V236" t="str">
        <f t="shared" ca="1" si="46"/>
        <v>Efficient</v>
      </c>
      <c r="W236">
        <f t="shared" si="47"/>
        <v>8477.33</v>
      </c>
    </row>
    <row r="237" spans="1:23" x14ac:dyDescent="0.35">
      <c r="A237" t="s">
        <v>262</v>
      </c>
      <c r="B237" t="s">
        <v>12</v>
      </c>
      <c r="C237" s="1">
        <v>44796</v>
      </c>
      <c r="E237" t="s">
        <v>13</v>
      </c>
      <c r="F237" t="s">
        <v>18</v>
      </c>
      <c r="G237">
        <v>1298</v>
      </c>
      <c r="H237">
        <v>21.51</v>
      </c>
      <c r="I237">
        <v>20.83</v>
      </c>
      <c r="K237">
        <f t="shared" si="36"/>
        <v>1298</v>
      </c>
      <c r="L237" t="s">
        <v>15</v>
      </c>
      <c r="M237" s="1">
        <f t="shared" si="37"/>
        <v>0</v>
      </c>
      <c r="N237" t="str">
        <f t="shared" ca="1" si="38"/>
        <v>Net 15</v>
      </c>
      <c r="O237">
        <f t="shared" ca="1" si="39"/>
        <v>15</v>
      </c>
      <c r="P237" s="1">
        <f t="shared" ca="1" si="40"/>
        <v>15</v>
      </c>
      <c r="Q237" s="1">
        <f t="shared" ca="1" si="41"/>
        <v>19</v>
      </c>
      <c r="R237">
        <f t="shared" ca="1" si="42"/>
        <v>19</v>
      </c>
      <c r="S237" t="str">
        <f t="shared" ca="1" si="43"/>
        <v>Late</v>
      </c>
      <c r="T237" t="str">
        <f t="shared" ca="1" si="44"/>
        <v>0-30</v>
      </c>
      <c r="U237">
        <f t="shared" ca="1" si="45"/>
        <v>4</v>
      </c>
      <c r="V237" t="str">
        <f t="shared" ca="1" si="46"/>
        <v>Inefficient</v>
      </c>
      <c r="W237">
        <f t="shared" si="47"/>
        <v>27037.339999999997</v>
      </c>
    </row>
    <row r="238" spans="1:23" x14ac:dyDescent="0.35">
      <c r="A238" t="s">
        <v>263</v>
      </c>
      <c r="B238" t="s">
        <v>17</v>
      </c>
      <c r="C238" s="1">
        <v>44631</v>
      </c>
      <c r="E238" t="s">
        <v>21</v>
      </c>
      <c r="F238" t="s">
        <v>18</v>
      </c>
      <c r="G238">
        <v>1458</v>
      </c>
      <c r="H238">
        <v>91.05</v>
      </c>
      <c r="I238">
        <v>81.56</v>
      </c>
      <c r="J238">
        <v>220</v>
      </c>
      <c r="K238">
        <f t="shared" si="36"/>
        <v>1238</v>
      </c>
      <c r="L238" t="s">
        <v>15</v>
      </c>
      <c r="M238" s="1">
        <f t="shared" si="37"/>
        <v>0</v>
      </c>
      <c r="N238" t="str">
        <f t="shared" ca="1" si="38"/>
        <v>Net 30</v>
      </c>
      <c r="O238">
        <f t="shared" ca="1" si="39"/>
        <v>30</v>
      </c>
      <c r="P238" s="1">
        <f t="shared" ca="1" si="40"/>
        <v>30</v>
      </c>
      <c r="Q238" s="1">
        <f t="shared" ca="1" si="41"/>
        <v>30</v>
      </c>
      <c r="R238">
        <f t="shared" ca="1" si="42"/>
        <v>30</v>
      </c>
      <c r="S238" t="str">
        <f t="shared" ca="1" si="43"/>
        <v>On Time</v>
      </c>
      <c r="T238" t="str">
        <f t="shared" ca="1" si="44"/>
        <v>0-30</v>
      </c>
      <c r="U238">
        <f t="shared" ca="1" si="45"/>
        <v>0</v>
      </c>
      <c r="V238" t="str">
        <f t="shared" ca="1" si="46"/>
        <v>Efficient</v>
      </c>
      <c r="W238">
        <f t="shared" si="47"/>
        <v>118914.48000000001</v>
      </c>
    </row>
    <row r="239" spans="1:23" x14ac:dyDescent="0.35">
      <c r="A239" t="s">
        <v>264</v>
      </c>
      <c r="B239" t="s">
        <v>20</v>
      </c>
      <c r="C239" s="1">
        <v>44594</v>
      </c>
      <c r="D239" s="1">
        <v>44605</v>
      </c>
      <c r="E239" t="s">
        <v>21</v>
      </c>
      <c r="F239" t="s">
        <v>18</v>
      </c>
      <c r="G239">
        <v>1450</v>
      </c>
      <c r="H239">
        <v>63.74</v>
      </c>
      <c r="I239">
        <v>59.11</v>
      </c>
      <c r="J239">
        <v>71</v>
      </c>
      <c r="K239">
        <f t="shared" si="36"/>
        <v>1379</v>
      </c>
      <c r="L239" t="s">
        <v>15</v>
      </c>
      <c r="M239" s="1">
        <f t="shared" si="37"/>
        <v>44605</v>
      </c>
      <c r="N239" t="str">
        <f t="shared" ca="1" si="38"/>
        <v>Net 45</v>
      </c>
      <c r="O239">
        <f t="shared" ca="1" si="39"/>
        <v>45</v>
      </c>
      <c r="P239" s="1">
        <f t="shared" ca="1" si="40"/>
        <v>44650</v>
      </c>
      <c r="Q239" s="1">
        <f t="shared" ca="1" si="41"/>
        <v>44656</v>
      </c>
      <c r="R239">
        <f t="shared" ca="1" si="42"/>
        <v>51</v>
      </c>
      <c r="S239" t="str">
        <f t="shared" ca="1" si="43"/>
        <v>Late</v>
      </c>
      <c r="T239" t="str">
        <f t="shared" ca="1" si="44"/>
        <v>31-60</v>
      </c>
      <c r="U239">
        <f t="shared" ca="1" si="45"/>
        <v>6</v>
      </c>
      <c r="V239" t="str">
        <f t="shared" ca="1" si="46"/>
        <v>Inefficient</v>
      </c>
      <c r="W239">
        <f t="shared" si="47"/>
        <v>85709.5</v>
      </c>
    </row>
    <row r="240" spans="1:23" x14ac:dyDescent="0.35">
      <c r="A240" t="s">
        <v>265</v>
      </c>
      <c r="B240" t="s">
        <v>23</v>
      </c>
      <c r="C240" s="1">
        <v>44900</v>
      </c>
      <c r="D240" s="1">
        <v>44915</v>
      </c>
      <c r="E240" t="s">
        <v>39</v>
      </c>
      <c r="F240" t="s">
        <v>18</v>
      </c>
      <c r="G240">
        <v>1356</v>
      </c>
      <c r="H240">
        <v>75.03</v>
      </c>
      <c r="I240">
        <v>63.86</v>
      </c>
      <c r="J240">
        <v>131</v>
      </c>
      <c r="K240">
        <f t="shared" si="36"/>
        <v>1225</v>
      </c>
      <c r="L240" t="s">
        <v>15</v>
      </c>
      <c r="M240" s="1">
        <f t="shared" si="37"/>
        <v>44915</v>
      </c>
      <c r="N240" t="str">
        <f t="shared" ca="1" si="38"/>
        <v>Net 15</v>
      </c>
      <c r="O240">
        <f t="shared" ca="1" si="39"/>
        <v>15</v>
      </c>
      <c r="P240" s="1">
        <f t="shared" ca="1" si="40"/>
        <v>44930</v>
      </c>
      <c r="Q240" s="1">
        <f t="shared" ca="1" si="41"/>
        <v>44945</v>
      </c>
      <c r="R240">
        <f t="shared" ca="1" si="42"/>
        <v>30</v>
      </c>
      <c r="S240" t="str">
        <f t="shared" ca="1" si="43"/>
        <v>Late</v>
      </c>
      <c r="T240" t="str">
        <f t="shared" ca="1" si="44"/>
        <v>0-30</v>
      </c>
      <c r="U240">
        <f t="shared" ca="1" si="45"/>
        <v>15</v>
      </c>
      <c r="V240" t="str">
        <f t="shared" ca="1" si="46"/>
        <v>Inefficient</v>
      </c>
      <c r="W240">
        <f t="shared" si="47"/>
        <v>86594.16</v>
      </c>
    </row>
    <row r="241" spans="1:23" x14ac:dyDescent="0.35">
      <c r="A241" t="s">
        <v>266</v>
      </c>
      <c r="B241" t="s">
        <v>20</v>
      </c>
      <c r="C241" s="1">
        <v>44634</v>
      </c>
      <c r="E241" t="s">
        <v>24</v>
      </c>
      <c r="F241" t="s">
        <v>18</v>
      </c>
      <c r="G241">
        <v>682</v>
      </c>
      <c r="H241">
        <v>81.84</v>
      </c>
      <c r="I241">
        <v>71.86</v>
      </c>
      <c r="J241">
        <v>40</v>
      </c>
      <c r="K241">
        <f t="shared" si="36"/>
        <v>642</v>
      </c>
      <c r="L241" t="s">
        <v>15</v>
      </c>
      <c r="M241" s="1">
        <f t="shared" si="37"/>
        <v>0</v>
      </c>
      <c r="N241" t="str">
        <f t="shared" ca="1" si="38"/>
        <v>Net 30</v>
      </c>
      <c r="O241">
        <f t="shared" ca="1" si="39"/>
        <v>30</v>
      </c>
      <c r="P241" s="1">
        <f t="shared" ca="1" si="40"/>
        <v>30</v>
      </c>
      <c r="Q241" s="1">
        <f t="shared" ca="1" si="41"/>
        <v>42</v>
      </c>
      <c r="R241">
        <f t="shared" ca="1" si="42"/>
        <v>42</v>
      </c>
      <c r="S241" t="str">
        <f t="shared" ca="1" si="43"/>
        <v>Late</v>
      </c>
      <c r="T241" t="str">
        <f t="shared" ca="1" si="44"/>
        <v>31-60</v>
      </c>
      <c r="U241">
        <f t="shared" ca="1" si="45"/>
        <v>12</v>
      </c>
      <c r="V241" t="str">
        <f t="shared" ca="1" si="46"/>
        <v>Inefficient</v>
      </c>
      <c r="W241">
        <f t="shared" si="47"/>
        <v>49008.52</v>
      </c>
    </row>
    <row r="242" spans="1:23" x14ac:dyDescent="0.35">
      <c r="A242" t="s">
        <v>267</v>
      </c>
      <c r="B242" t="s">
        <v>20</v>
      </c>
      <c r="C242" s="1">
        <v>45088</v>
      </c>
      <c r="D242" s="1">
        <v>45096</v>
      </c>
      <c r="E242" t="s">
        <v>24</v>
      </c>
      <c r="F242" t="s">
        <v>18</v>
      </c>
      <c r="G242">
        <v>677</v>
      </c>
      <c r="H242">
        <v>59.52</v>
      </c>
      <c r="I242">
        <v>55.29</v>
      </c>
      <c r="J242">
        <v>39</v>
      </c>
      <c r="K242">
        <f t="shared" si="36"/>
        <v>638</v>
      </c>
      <c r="L242" t="s">
        <v>15</v>
      </c>
      <c r="M242" s="1">
        <f t="shared" si="37"/>
        <v>45096</v>
      </c>
      <c r="N242" t="str">
        <f t="shared" ca="1" si="38"/>
        <v>Net 15</v>
      </c>
      <c r="O242">
        <f t="shared" ca="1" si="39"/>
        <v>15</v>
      </c>
      <c r="P242" s="1">
        <f t="shared" ca="1" si="40"/>
        <v>45111</v>
      </c>
      <c r="Q242" s="1">
        <f t="shared" ca="1" si="41"/>
        <v>45130</v>
      </c>
      <c r="R242">
        <f t="shared" ca="1" si="42"/>
        <v>34</v>
      </c>
      <c r="S242" t="str">
        <f t="shared" ca="1" si="43"/>
        <v>Late</v>
      </c>
      <c r="T242" t="str">
        <f t="shared" ca="1" si="44"/>
        <v>31-60</v>
      </c>
      <c r="U242">
        <f t="shared" ca="1" si="45"/>
        <v>19</v>
      </c>
      <c r="V242" t="str">
        <f t="shared" ca="1" si="46"/>
        <v>Inefficient</v>
      </c>
      <c r="W242">
        <f t="shared" si="47"/>
        <v>37431.33</v>
      </c>
    </row>
    <row r="243" spans="1:23" x14ac:dyDescent="0.35">
      <c r="A243" t="s">
        <v>268</v>
      </c>
      <c r="B243" t="s">
        <v>17</v>
      </c>
      <c r="C243" s="1">
        <v>44805</v>
      </c>
      <c r="D243" s="1">
        <v>44818</v>
      </c>
      <c r="E243" t="s">
        <v>13</v>
      </c>
      <c r="F243" t="s">
        <v>18</v>
      </c>
      <c r="G243">
        <v>1022</v>
      </c>
      <c r="H243">
        <v>18.54</v>
      </c>
      <c r="I243">
        <v>16.55</v>
      </c>
      <c r="J243">
        <v>150</v>
      </c>
      <c r="K243">
        <f t="shared" si="36"/>
        <v>872</v>
      </c>
      <c r="L243" t="s">
        <v>15</v>
      </c>
      <c r="M243" s="1">
        <f t="shared" si="37"/>
        <v>44818</v>
      </c>
      <c r="N243" t="str">
        <f t="shared" ca="1" si="38"/>
        <v>Net 30</v>
      </c>
      <c r="O243">
        <f t="shared" ca="1" si="39"/>
        <v>30</v>
      </c>
      <c r="P243" s="1">
        <f t="shared" ca="1" si="40"/>
        <v>44848</v>
      </c>
      <c r="Q243" s="1">
        <f t="shared" ca="1" si="41"/>
        <v>44855</v>
      </c>
      <c r="R243">
        <f t="shared" ca="1" si="42"/>
        <v>37</v>
      </c>
      <c r="S243" t="str">
        <f t="shared" ca="1" si="43"/>
        <v>Late</v>
      </c>
      <c r="T243" t="str">
        <f t="shared" ca="1" si="44"/>
        <v>31-60</v>
      </c>
      <c r="U243">
        <f t="shared" ca="1" si="45"/>
        <v>7</v>
      </c>
      <c r="V243" t="str">
        <f t="shared" ca="1" si="46"/>
        <v>Inefficient</v>
      </c>
      <c r="W243">
        <f t="shared" si="47"/>
        <v>16914.100000000002</v>
      </c>
    </row>
    <row r="244" spans="1:23" x14ac:dyDescent="0.35">
      <c r="A244" t="s">
        <v>269</v>
      </c>
      <c r="B244" t="s">
        <v>12</v>
      </c>
      <c r="C244" s="1">
        <v>44847</v>
      </c>
      <c r="E244" t="s">
        <v>26</v>
      </c>
      <c r="F244" t="s">
        <v>18</v>
      </c>
      <c r="G244">
        <v>1818</v>
      </c>
      <c r="H244">
        <v>60.96</v>
      </c>
      <c r="I244">
        <v>57.13</v>
      </c>
      <c r="J244">
        <v>41</v>
      </c>
      <c r="K244">
        <f t="shared" si="36"/>
        <v>1777</v>
      </c>
      <c r="L244" t="s">
        <v>15</v>
      </c>
      <c r="M244" s="1">
        <f t="shared" si="37"/>
        <v>0</v>
      </c>
      <c r="N244" t="str">
        <f t="shared" ca="1" si="38"/>
        <v>Net 30</v>
      </c>
      <c r="O244">
        <f t="shared" ca="1" si="39"/>
        <v>30</v>
      </c>
      <c r="P244" s="1">
        <f t="shared" ca="1" si="40"/>
        <v>30</v>
      </c>
      <c r="Q244" s="1">
        <f t="shared" ca="1" si="41"/>
        <v>36</v>
      </c>
      <c r="R244">
        <f t="shared" ca="1" si="42"/>
        <v>36</v>
      </c>
      <c r="S244" t="str">
        <f t="shared" ca="1" si="43"/>
        <v>Late</v>
      </c>
      <c r="T244" t="str">
        <f t="shared" ca="1" si="44"/>
        <v>31-60</v>
      </c>
      <c r="U244">
        <f t="shared" ca="1" si="45"/>
        <v>6</v>
      </c>
      <c r="V244" t="str">
        <f t="shared" ca="1" si="46"/>
        <v>Inefficient</v>
      </c>
      <c r="W244">
        <f t="shared" si="47"/>
        <v>103862.34000000001</v>
      </c>
    </row>
    <row r="245" spans="1:23" x14ac:dyDescent="0.35">
      <c r="A245" t="s">
        <v>270</v>
      </c>
      <c r="B245" t="s">
        <v>29</v>
      </c>
      <c r="C245" s="1">
        <v>45247</v>
      </c>
      <c r="D245" s="1">
        <v>45259</v>
      </c>
      <c r="E245" t="s">
        <v>39</v>
      </c>
      <c r="F245" t="s">
        <v>18</v>
      </c>
      <c r="G245">
        <v>1332</v>
      </c>
      <c r="H245">
        <v>69.73</v>
      </c>
      <c r="I245">
        <v>63.8</v>
      </c>
      <c r="J245">
        <v>41</v>
      </c>
      <c r="K245">
        <f t="shared" si="36"/>
        <v>1291</v>
      </c>
      <c r="L245" t="s">
        <v>15</v>
      </c>
      <c r="M245" s="1">
        <f t="shared" si="37"/>
        <v>45259</v>
      </c>
      <c r="N245" t="str">
        <f t="shared" ca="1" si="38"/>
        <v>Net 45</v>
      </c>
      <c r="O245">
        <f t="shared" ca="1" si="39"/>
        <v>45</v>
      </c>
      <c r="P245" s="1">
        <f t="shared" ca="1" si="40"/>
        <v>45304</v>
      </c>
      <c r="Q245" s="1">
        <f t="shared" ca="1" si="41"/>
        <v>45318</v>
      </c>
      <c r="R245">
        <f t="shared" ca="1" si="42"/>
        <v>59</v>
      </c>
      <c r="S245" t="str">
        <f t="shared" ca="1" si="43"/>
        <v>Late</v>
      </c>
      <c r="T245" t="str">
        <f t="shared" ca="1" si="44"/>
        <v>31-60</v>
      </c>
      <c r="U245">
        <f t="shared" ca="1" si="45"/>
        <v>14</v>
      </c>
      <c r="V245" t="str">
        <f t="shared" ca="1" si="46"/>
        <v>Inefficient</v>
      </c>
      <c r="W245">
        <f t="shared" si="47"/>
        <v>84981.599999999991</v>
      </c>
    </row>
    <row r="246" spans="1:23" x14ac:dyDescent="0.35">
      <c r="A246" t="s">
        <v>271</v>
      </c>
      <c r="B246" t="s">
        <v>23</v>
      </c>
      <c r="C246" s="1">
        <v>45059</v>
      </c>
      <c r="D246" s="1">
        <v>45072</v>
      </c>
      <c r="E246" t="s">
        <v>26</v>
      </c>
      <c r="F246" t="s">
        <v>18</v>
      </c>
      <c r="G246">
        <v>1432</v>
      </c>
      <c r="H246">
        <v>83.26</v>
      </c>
      <c r="I246">
        <v>77.67</v>
      </c>
      <c r="J246">
        <v>174</v>
      </c>
      <c r="K246">
        <f t="shared" si="36"/>
        <v>1258</v>
      </c>
      <c r="L246" t="s">
        <v>15</v>
      </c>
      <c r="M246" s="1">
        <f t="shared" si="37"/>
        <v>45072</v>
      </c>
      <c r="N246" t="str">
        <f t="shared" ca="1" si="38"/>
        <v>Net 45</v>
      </c>
      <c r="O246">
        <f t="shared" ca="1" si="39"/>
        <v>45</v>
      </c>
      <c r="P246" s="1">
        <f t="shared" ca="1" si="40"/>
        <v>45117</v>
      </c>
      <c r="Q246" s="1">
        <f t="shared" ca="1" si="41"/>
        <v>45117</v>
      </c>
      <c r="R246">
        <f t="shared" ca="1" si="42"/>
        <v>45</v>
      </c>
      <c r="S246" t="str">
        <f t="shared" ca="1" si="43"/>
        <v>On Time</v>
      </c>
      <c r="T246" t="str">
        <f t="shared" ca="1" si="44"/>
        <v>31-60</v>
      </c>
      <c r="U246">
        <f t="shared" ca="1" si="45"/>
        <v>0</v>
      </c>
      <c r="V246" t="str">
        <f t="shared" ca="1" si="46"/>
        <v>Efficient</v>
      </c>
      <c r="W246">
        <f t="shared" si="47"/>
        <v>111223.44</v>
      </c>
    </row>
    <row r="247" spans="1:23" x14ac:dyDescent="0.35">
      <c r="A247" t="s">
        <v>272</v>
      </c>
      <c r="B247" t="s">
        <v>23</v>
      </c>
      <c r="C247" s="1">
        <v>44781</v>
      </c>
      <c r="D247" s="1">
        <v>44799</v>
      </c>
      <c r="E247" t="s">
        <v>24</v>
      </c>
      <c r="F247" t="s">
        <v>35</v>
      </c>
      <c r="G247">
        <v>759</v>
      </c>
      <c r="H247">
        <v>50.56</v>
      </c>
      <c r="I247">
        <v>46.47</v>
      </c>
      <c r="J247">
        <v>63</v>
      </c>
      <c r="K247">
        <f t="shared" si="36"/>
        <v>696</v>
      </c>
      <c r="L247" t="s">
        <v>27</v>
      </c>
      <c r="M247" s="1">
        <f t="shared" si="37"/>
        <v>44799</v>
      </c>
      <c r="N247" t="str">
        <f t="shared" ca="1" si="38"/>
        <v>Net 15</v>
      </c>
      <c r="O247">
        <f t="shared" ca="1" si="39"/>
        <v>15</v>
      </c>
      <c r="P247" s="1">
        <f t="shared" ca="1" si="40"/>
        <v>44814</v>
      </c>
      <c r="Q247" s="1">
        <f t="shared" ca="1" si="41"/>
        <v>44823</v>
      </c>
      <c r="R247">
        <f t="shared" ca="1" si="42"/>
        <v>24</v>
      </c>
      <c r="S247" t="str">
        <f t="shared" ca="1" si="43"/>
        <v>Late</v>
      </c>
      <c r="T247" t="str">
        <f t="shared" ca="1" si="44"/>
        <v>0-30</v>
      </c>
      <c r="U247">
        <f t="shared" ca="1" si="45"/>
        <v>9</v>
      </c>
      <c r="V247" t="str">
        <f t="shared" ca="1" si="46"/>
        <v>Inefficient</v>
      </c>
      <c r="W247">
        <f t="shared" si="47"/>
        <v>35270.729999999996</v>
      </c>
    </row>
    <row r="248" spans="1:23" x14ac:dyDescent="0.35">
      <c r="A248" t="s">
        <v>273</v>
      </c>
      <c r="B248" t="s">
        <v>12</v>
      </c>
      <c r="C248" s="1">
        <v>45114</v>
      </c>
      <c r="D248" s="1">
        <v>45126</v>
      </c>
      <c r="E248" t="s">
        <v>24</v>
      </c>
      <c r="F248" t="s">
        <v>18</v>
      </c>
      <c r="G248">
        <v>1529</v>
      </c>
      <c r="H248">
        <v>23.42</v>
      </c>
      <c r="I248">
        <v>22.44</v>
      </c>
      <c r="J248">
        <v>30</v>
      </c>
      <c r="K248">
        <f t="shared" si="36"/>
        <v>1499</v>
      </c>
      <c r="L248" t="s">
        <v>15</v>
      </c>
      <c r="M248" s="1">
        <f t="shared" si="37"/>
        <v>45126</v>
      </c>
      <c r="N248" t="str">
        <f t="shared" ca="1" si="38"/>
        <v>Net 15</v>
      </c>
      <c r="O248">
        <f t="shared" ca="1" si="39"/>
        <v>15</v>
      </c>
      <c r="P248" s="1">
        <f t="shared" ca="1" si="40"/>
        <v>45141</v>
      </c>
      <c r="Q248" s="1">
        <f t="shared" ca="1" si="41"/>
        <v>45157</v>
      </c>
      <c r="R248">
        <f t="shared" ca="1" si="42"/>
        <v>31</v>
      </c>
      <c r="S248" t="str">
        <f t="shared" ca="1" si="43"/>
        <v>Late</v>
      </c>
      <c r="T248" t="str">
        <f t="shared" ca="1" si="44"/>
        <v>31-60</v>
      </c>
      <c r="U248">
        <f t="shared" ca="1" si="45"/>
        <v>16</v>
      </c>
      <c r="V248" t="str">
        <f t="shared" ca="1" si="46"/>
        <v>Inefficient</v>
      </c>
      <c r="W248">
        <f t="shared" si="47"/>
        <v>34310.76</v>
      </c>
    </row>
    <row r="249" spans="1:23" x14ac:dyDescent="0.35">
      <c r="A249" t="s">
        <v>274</v>
      </c>
      <c r="B249" t="s">
        <v>20</v>
      </c>
      <c r="C249" s="1">
        <v>44697</v>
      </c>
      <c r="D249" s="1">
        <v>44706</v>
      </c>
      <c r="E249" t="s">
        <v>39</v>
      </c>
      <c r="F249" t="s">
        <v>18</v>
      </c>
      <c r="G249">
        <v>1484</v>
      </c>
      <c r="H249">
        <v>36.25</v>
      </c>
      <c r="I249">
        <v>31.8</v>
      </c>
      <c r="J249">
        <v>61</v>
      </c>
      <c r="K249">
        <f t="shared" si="36"/>
        <v>1423</v>
      </c>
      <c r="L249" t="s">
        <v>15</v>
      </c>
      <c r="M249" s="1">
        <f t="shared" si="37"/>
        <v>44706</v>
      </c>
      <c r="N249" t="str">
        <f t="shared" ca="1" si="38"/>
        <v>Net 15</v>
      </c>
      <c r="O249">
        <f t="shared" ca="1" si="39"/>
        <v>15</v>
      </c>
      <c r="P249" s="1">
        <f t="shared" ca="1" si="40"/>
        <v>44721</v>
      </c>
      <c r="Q249" s="1">
        <f t="shared" ca="1" si="41"/>
        <v>44726</v>
      </c>
      <c r="R249">
        <f t="shared" ca="1" si="42"/>
        <v>20</v>
      </c>
      <c r="S249" t="str">
        <f t="shared" ca="1" si="43"/>
        <v>Late</v>
      </c>
      <c r="T249" t="str">
        <f t="shared" ca="1" si="44"/>
        <v>0-30</v>
      </c>
      <c r="U249">
        <f t="shared" ca="1" si="45"/>
        <v>5</v>
      </c>
      <c r="V249" t="str">
        <f t="shared" ca="1" si="46"/>
        <v>Inefficient</v>
      </c>
      <c r="W249">
        <f t="shared" si="47"/>
        <v>47191.200000000004</v>
      </c>
    </row>
    <row r="250" spans="1:23" x14ac:dyDescent="0.35">
      <c r="A250" t="s">
        <v>275</v>
      </c>
      <c r="B250" t="s">
        <v>29</v>
      </c>
      <c r="C250" s="1">
        <v>45146</v>
      </c>
      <c r="D250" s="1">
        <v>45158</v>
      </c>
      <c r="E250" t="s">
        <v>24</v>
      </c>
      <c r="F250" t="s">
        <v>18</v>
      </c>
      <c r="G250">
        <v>698</v>
      </c>
      <c r="H250">
        <v>46.73</v>
      </c>
      <c r="I250">
        <v>45.61</v>
      </c>
      <c r="J250">
        <v>15</v>
      </c>
      <c r="K250">
        <f t="shared" si="36"/>
        <v>683</v>
      </c>
      <c r="L250" t="s">
        <v>15</v>
      </c>
      <c r="M250" s="1">
        <f t="shared" si="37"/>
        <v>45158</v>
      </c>
      <c r="N250" t="str">
        <f t="shared" ca="1" si="38"/>
        <v>Net 45</v>
      </c>
      <c r="O250">
        <f t="shared" ca="1" si="39"/>
        <v>45</v>
      </c>
      <c r="P250" s="1">
        <f t="shared" ca="1" si="40"/>
        <v>45203</v>
      </c>
      <c r="Q250" s="1">
        <f t="shared" ca="1" si="41"/>
        <v>45200</v>
      </c>
      <c r="R250">
        <f t="shared" ca="1" si="42"/>
        <v>42</v>
      </c>
      <c r="S250" t="str">
        <f t="shared" ca="1" si="43"/>
        <v>On Time</v>
      </c>
      <c r="T250" t="str">
        <f t="shared" ca="1" si="44"/>
        <v>31-60</v>
      </c>
      <c r="U250">
        <f t="shared" ca="1" si="45"/>
        <v>0</v>
      </c>
      <c r="V250" t="str">
        <f t="shared" ca="1" si="46"/>
        <v>Efficient</v>
      </c>
      <c r="W250">
        <f t="shared" si="47"/>
        <v>31835.78</v>
      </c>
    </row>
    <row r="251" spans="1:23" x14ac:dyDescent="0.35">
      <c r="A251" t="s">
        <v>276</v>
      </c>
      <c r="B251" t="s">
        <v>29</v>
      </c>
      <c r="C251" s="1">
        <v>45152</v>
      </c>
      <c r="D251" s="1">
        <v>45160</v>
      </c>
      <c r="E251" t="s">
        <v>24</v>
      </c>
      <c r="F251" t="s">
        <v>35</v>
      </c>
      <c r="G251">
        <v>367</v>
      </c>
      <c r="H251">
        <v>74.61</v>
      </c>
      <c r="I251">
        <v>71.36</v>
      </c>
      <c r="J251">
        <v>13</v>
      </c>
      <c r="K251">
        <f t="shared" si="36"/>
        <v>354</v>
      </c>
      <c r="L251" t="s">
        <v>15</v>
      </c>
      <c r="M251" s="1">
        <f t="shared" si="37"/>
        <v>45160</v>
      </c>
      <c r="N251" t="str">
        <f t="shared" ca="1" si="38"/>
        <v>Net 45</v>
      </c>
      <c r="O251">
        <f t="shared" ca="1" si="39"/>
        <v>45</v>
      </c>
      <c r="P251" s="1">
        <f t="shared" ca="1" si="40"/>
        <v>45205</v>
      </c>
      <c r="Q251" s="1">
        <f t="shared" ca="1" si="41"/>
        <v>45214</v>
      </c>
      <c r="R251">
        <f t="shared" ca="1" si="42"/>
        <v>54</v>
      </c>
      <c r="S251" t="str">
        <f t="shared" ca="1" si="43"/>
        <v>Late</v>
      </c>
      <c r="T251" t="str">
        <f t="shared" ca="1" si="44"/>
        <v>31-60</v>
      </c>
      <c r="U251">
        <f t="shared" ca="1" si="45"/>
        <v>9</v>
      </c>
      <c r="V251" t="str">
        <f t="shared" ca="1" si="46"/>
        <v>Inefficient</v>
      </c>
      <c r="W251">
        <f t="shared" si="47"/>
        <v>26189.119999999999</v>
      </c>
    </row>
    <row r="252" spans="1:23" x14ac:dyDescent="0.35">
      <c r="A252" t="s">
        <v>277</v>
      </c>
      <c r="B252" t="s">
        <v>29</v>
      </c>
      <c r="C252" s="1">
        <v>45046</v>
      </c>
      <c r="D252" s="1">
        <v>45066</v>
      </c>
      <c r="E252" t="s">
        <v>13</v>
      </c>
      <c r="F252" t="s">
        <v>33</v>
      </c>
      <c r="G252">
        <v>1750</v>
      </c>
      <c r="H252">
        <v>65.97</v>
      </c>
      <c r="I252">
        <v>58.34</v>
      </c>
      <c r="J252">
        <v>50</v>
      </c>
      <c r="K252">
        <f t="shared" si="36"/>
        <v>1700</v>
      </c>
      <c r="L252" t="s">
        <v>15</v>
      </c>
      <c r="M252" s="1">
        <f t="shared" si="37"/>
        <v>45066</v>
      </c>
      <c r="N252" t="str">
        <f t="shared" ca="1" si="38"/>
        <v>Net 30</v>
      </c>
      <c r="O252">
        <f t="shared" ca="1" si="39"/>
        <v>30</v>
      </c>
      <c r="P252" s="1">
        <f t="shared" ca="1" si="40"/>
        <v>45096</v>
      </c>
      <c r="Q252" s="1">
        <f t="shared" ca="1" si="41"/>
        <v>45116</v>
      </c>
      <c r="R252">
        <f t="shared" ca="1" si="42"/>
        <v>50</v>
      </c>
      <c r="S252" t="str">
        <f t="shared" ca="1" si="43"/>
        <v>Late</v>
      </c>
      <c r="T252" t="str">
        <f t="shared" ca="1" si="44"/>
        <v>31-60</v>
      </c>
      <c r="U252">
        <f t="shared" ca="1" si="45"/>
        <v>20</v>
      </c>
      <c r="V252" t="str">
        <f t="shared" ca="1" si="46"/>
        <v>Inefficient</v>
      </c>
      <c r="W252">
        <f t="shared" si="47"/>
        <v>102095</v>
      </c>
    </row>
    <row r="253" spans="1:23" x14ac:dyDescent="0.35">
      <c r="A253" t="s">
        <v>278</v>
      </c>
      <c r="B253" t="s">
        <v>17</v>
      </c>
      <c r="C253" s="1">
        <v>44810</v>
      </c>
      <c r="D253" s="1">
        <v>44828</v>
      </c>
      <c r="E253" t="s">
        <v>13</v>
      </c>
      <c r="F253" t="s">
        <v>33</v>
      </c>
      <c r="G253">
        <v>1298</v>
      </c>
      <c r="H253">
        <v>43.73</v>
      </c>
      <c r="I253">
        <v>37.21</v>
      </c>
      <c r="K253">
        <f t="shared" si="36"/>
        <v>1298</v>
      </c>
      <c r="L253" t="s">
        <v>27</v>
      </c>
      <c r="M253" s="1">
        <f t="shared" si="37"/>
        <v>44828</v>
      </c>
      <c r="N253" t="str">
        <f t="shared" ca="1" si="38"/>
        <v>Net 15</v>
      </c>
      <c r="O253">
        <f t="shared" ca="1" si="39"/>
        <v>15</v>
      </c>
      <c r="P253" s="1">
        <f t="shared" ca="1" si="40"/>
        <v>44843</v>
      </c>
      <c r="Q253" s="1">
        <f t="shared" ca="1" si="41"/>
        <v>44858</v>
      </c>
      <c r="R253">
        <f t="shared" ca="1" si="42"/>
        <v>30</v>
      </c>
      <c r="S253" t="str">
        <f t="shared" ca="1" si="43"/>
        <v>Late</v>
      </c>
      <c r="T253" t="str">
        <f t="shared" ca="1" si="44"/>
        <v>0-30</v>
      </c>
      <c r="U253">
        <f t="shared" ca="1" si="45"/>
        <v>15</v>
      </c>
      <c r="V253" t="str">
        <f t="shared" ca="1" si="46"/>
        <v>Inefficient</v>
      </c>
      <c r="W253">
        <f t="shared" si="47"/>
        <v>48298.58</v>
      </c>
    </row>
    <row r="254" spans="1:23" x14ac:dyDescent="0.35">
      <c r="A254" t="s">
        <v>279</v>
      </c>
      <c r="B254" t="s">
        <v>20</v>
      </c>
      <c r="C254" s="1">
        <v>45046</v>
      </c>
      <c r="D254" s="1">
        <v>45066</v>
      </c>
      <c r="E254" t="s">
        <v>24</v>
      </c>
      <c r="F254" t="s">
        <v>18</v>
      </c>
      <c r="G254">
        <v>1892</v>
      </c>
      <c r="H254">
        <v>106.2</v>
      </c>
      <c r="I254">
        <v>96.37</v>
      </c>
      <c r="J254">
        <v>93</v>
      </c>
      <c r="K254">
        <f t="shared" si="36"/>
        <v>1799</v>
      </c>
      <c r="L254" t="s">
        <v>15</v>
      </c>
      <c r="M254" s="1">
        <f t="shared" si="37"/>
        <v>45066</v>
      </c>
      <c r="N254" t="str">
        <f t="shared" ca="1" si="38"/>
        <v>Net 30</v>
      </c>
      <c r="O254">
        <f t="shared" ca="1" si="39"/>
        <v>30</v>
      </c>
      <c r="P254" s="1">
        <f t="shared" ca="1" si="40"/>
        <v>45096</v>
      </c>
      <c r="Q254" s="1">
        <f t="shared" ca="1" si="41"/>
        <v>45103</v>
      </c>
      <c r="R254">
        <f t="shared" ca="1" si="42"/>
        <v>37</v>
      </c>
      <c r="S254" t="str">
        <f t="shared" ca="1" si="43"/>
        <v>Late</v>
      </c>
      <c r="T254" t="str">
        <f t="shared" ca="1" si="44"/>
        <v>31-60</v>
      </c>
      <c r="U254">
        <f t="shared" ca="1" si="45"/>
        <v>7</v>
      </c>
      <c r="V254" t="str">
        <f t="shared" ca="1" si="46"/>
        <v>Inefficient</v>
      </c>
      <c r="W254">
        <f t="shared" si="47"/>
        <v>182332.04</v>
      </c>
    </row>
    <row r="255" spans="1:23" x14ac:dyDescent="0.35">
      <c r="A255" t="s">
        <v>280</v>
      </c>
      <c r="B255" t="s">
        <v>23</v>
      </c>
      <c r="C255" s="1">
        <v>44978</v>
      </c>
      <c r="D255" s="1">
        <v>44981</v>
      </c>
      <c r="E255" t="s">
        <v>39</v>
      </c>
      <c r="F255" t="s">
        <v>18</v>
      </c>
      <c r="G255">
        <v>1307</v>
      </c>
      <c r="H255">
        <v>68.709999999999994</v>
      </c>
      <c r="I255">
        <v>60.64</v>
      </c>
      <c r="J255">
        <v>141</v>
      </c>
      <c r="K255">
        <f t="shared" si="36"/>
        <v>1166</v>
      </c>
      <c r="L255" t="s">
        <v>15</v>
      </c>
      <c r="M255" s="1">
        <f t="shared" si="37"/>
        <v>44981</v>
      </c>
      <c r="N255" t="str">
        <f t="shared" ca="1" si="38"/>
        <v>Net 30</v>
      </c>
      <c r="O255">
        <f t="shared" ca="1" si="39"/>
        <v>30</v>
      </c>
      <c r="P255" s="1">
        <f t="shared" ca="1" si="40"/>
        <v>45011</v>
      </c>
      <c r="Q255" s="1">
        <f t="shared" ca="1" si="41"/>
        <v>45027</v>
      </c>
      <c r="R255">
        <f t="shared" ca="1" si="42"/>
        <v>46</v>
      </c>
      <c r="S255" t="str">
        <f t="shared" ca="1" si="43"/>
        <v>Late</v>
      </c>
      <c r="T255" t="str">
        <f t="shared" ca="1" si="44"/>
        <v>31-60</v>
      </c>
      <c r="U255">
        <f t="shared" ca="1" si="45"/>
        <v>16</v>
      </c>
      <c r="V255" t="str">
        <f t="shared" ca="1" si="46"/>
        <v>Inefficient</v>
      </c>
      <c r="W255">
        <f t="shared" si="47"/>
        <v>79256.479999999996</v>
      </c>
    </row>
    <row r="256" spans="1:23" x14ac:dyDescent="0.35">
      <c r="A256" t="s">
        <v>281</v>
      </c>
      <c r="B256" t="s">
        <v>23</v>
      </c>
      <c r="C256" s="1">
        <v>44756</v>
      </c>
      <c r="D256" s="1">
        <v>44771</v>
      </c>
      <c r="E256" t="s">
        <v>39</v>
      </c>
      <c r="F256" t="s">
        <v>18</v>
      </c>
      <c r="G256">
        <v>733</v>
      </c>
      <c r="H256">
        <v>32.29</v>
      </c>
      <c r="I256">
        <v>29.01</v>
      </c>
      <c r="J256">
        <v>78</v>
      </c>
      <c r="K256">
        <f t="shared" si="36"/>
        <v>655</v>
      </c>
      <c r="L256" t="s">
        <v>15</v>
      </c>
      <c r="M256" s="1">
        <f t="shared" si="37"/>
        <v>44771</v>
      </c>
      <c r="N256" t="str">
        <f t="shared" ca="1" si="38"/>
        <v>Net 15</v>
      </c>
      <c r="O256">
        <f t="shared" ca="1" si="39"/>
        <v>15</v>
      </c>
      <c r="P256" s="1">
        <f t="shared" ca="1" si="40"/>
        <v>44786</v>
      </c>
      <c r="Q256" s="1">
        <f t="shared" ca="1" si="41"/>
        <v>44789</v>
      </c>
      <c r="R256">
        <f t="shared" ca="1" si="42"/>
        <v>18</v>
      </c>
      <c r="S256" t="str">
        <f t="shared" ca="1" si="43"/>
        <v>Late</v>
      </c>
      <c r="T256" t="str">
        <f t="shared" ca="1" si="44"/>
        <v>0-30</v>
      </c>
      <c r="U256">
        <f t="shared" ca="1" si="45"/>
        <v>3</v>
      </c>
      <c r="V256" t="str">
        <f t="shared" ca="1" si="46"/>
        <v>Inefficient</v>
      </c>
      <c r="W256">
        <f t="shared" si="47"/>
        <v>21264.33</v>
      </c>
    </row>
    <row r="257" spans="1:23" x14ac:dyDescent="0.35">
      <c r="A257" t="s">
        <v>282</v>
      </c>
      <c r="B257" t="s">
        <v>20</v>
      </c>
      <c r="C257" s="1">
        <v>44658</v>
      </c>
      <c r="E257" t="s">
        <v>24</v>
      </c>
      <c r="F257" t="s">
        <v>18</v>
      </c>
      <c r="G257">
        <v>713</v>
      </c>
      <c r="H257">
        <v>19.45</v>
      </c>
      <c r="I257">
        <v>18.82</v>
      </c>
      <c r="J257">
        <v>31</v>
      </c>
      <c r="K257">
        <f t="shared" si="36"/>
        <v>682</v>
      </c>
      <c r="L257" t="s">
        <v>15</v>
      </c>
      <c r="M257" s="1">
        <f t="shared" si="37"/>
        <v>0</v>
      </c>
      <c r="N257" t="str">
        <f t="shared" ca="1" si="38"/>
        <v>Net 30</v>
      </c>
      <c r="O257">
        <f t="shared" ca="1" si="39"/>
        <v>30</v>
      </c>
      <c r="P257" s="1">
        <f t="shared" ca="1" si="40"/>
        <v>30</v>
      </c>
      <c r="Q257" s="1">
        <f t="shared" ca="1" si="41"/>
        <v>25</v>
      </c>
      <c r="R257">
        <f t="shared" ca="1" si="42"/>
        <v>25</v>
      </c>
      <c r="S257" t="str">
        <f t="shared" ca="1" si="43"/>
        <v>On Time</v>
      </c>
      <c r="T257" t="str">
        <f t="shared" ca="1" si="44"/>
        <v>0-30</v>
      </c>
      <c r="U257">
        <f t="shared" ca="1" si="45"/>
        <v>0</v>
      </c>
      <c r="V257" t="str">
        <f t="shared" ca="1" si="46"/>
        <v>Efficient</v>
      </c>
      <c r="W257">
        <f t="shared" si="47"/>
        <v>13418.66</v>
      </c>
    </row>
    <row r="258" spans="1:23" x14ac:dyDescent="0.35">
      <c r="A258" t="s">
        <v>283</v>
      </c>
      <c r="B258" t="s">
        <v>23</v>
      </c>
      <c r="C258" s="1">
        <v>44661</v>
      </c>
      <c r="D258" s="1">
        <v>44675</v>
      </c>
      <c r="E258" t="s">
        <v>24</v>
      </c>
      <c r="F258" t="s">
        <v>18</v>
      </c>
      <c r="G258">
        <v>1900</v>
      </c>
      <c r="H258">
        <v>24.11</v>
      </c>
      <c r="I258">
        <v>23.45</v>
      </c>
      <c r="J258">
        <v>188</v>
      </c>
      <c r="K258">
        <f t="shared" si="36"/>
        <v>1712</v>
      </c>
      <c r="L258" t="s">
        <v>15</v>
      </c>
      <c r="M258" s="1">
        <f t="shared" si="37"/>
        <v>44675</v>
      </c>
      <c r="N258" t="str">
        <f t="shared" ca="1" si="38"/>
        <v>Net 45</v>
      </c>
      <c r="O258">
        <f t="shared" ca="1" si="39"/>
        <v>45</v>
      </c>
      <c r="P258" s="1">
        <f t="shared" ca="1" si="40"/>
        <v>44720</v>
      </c>
      <c r="Q258" s="1">
        <f t="shared" ca="1" si="41"/>
        <v>44736</v>
      </c>
      <c r="R258">
        <f t="shared" ca="1" si="42"/>
        <v>61</v>
      </c>
      <c r="S258" t="str">
        <f t="shared" ca="1" si="43"/>
        <v>Late</v>
      </c>
      <c r="T258" t="str">
        <f t="shared" ca="1" si="44"/>
        <v>61-90</v>
      </c>
      <c r="U258">
        <f t="shared" ca="1" si="45"/>
        <v>16</v>
      </c>
      <c r="V258" t="str">
        <f t="shared" ca="1" si="46"/>
        <v>Inefficient</v>
      </c>
      <c r="W258">
        <f t="shared" si="47"/>
        <v>44555</v>
      </c>
    </row>
    <row r="259" spans="1:23" x14ac:dyDescent="0.35">
      <c r="A259" t="s">
        <v>284</v>
      </c>
      <c r="B259" t="s">
        <v>17</v>
      </c>
      <c r="C259" s="1">
        <v>45236</v>
      </c>
      <c r="D259" s="1">
        <v>45238</v>
      </c>
      <c r="E259" t="s">
        <v>21</v>
      </c>
      <c r="F259" t="s">
        <v>14</v>
      </c>
      <c r="G259">
        <v>1447</v>
      </c>
      <c r="H259">
        <v>35.67</v>
      </c>
      <c r="I259">
        <v>35.07</v>
      </c>
      <c r="J259">
        <v>224</v>
      </c>
      <c r="K259">
        <f t="shared" ref="K259:K322" si="48">G259-J259</f>
        <v>1223</v>
      </c>
      <c r="L259" t="s">
        <v>27</v>
      </c>
      <c r="M259" s="1">
        <f t="shared" ref="M259:M322" si="49">D259</f>
        <v>45238</v>
      </c>
      <c r="N259" t="str">
        <f t="shared" ref="N259:N322" ca="1" si="50">CHOOSE(RANDBETWEEN(1,3),"Net 15","Net 30","Net 45")</f>
        <v>Net 45</v>
      </c>
      <c r="O259">
        <f t="shared" ref="O259:O322" ca="1" si="51">VALUE(RIGHT(N259,2))</f>
        <v>45</v>
      </c>
      <c r="P259" s="1">
        <f t="shared" ref="P259:P322" ca="1" si="52">(M259+O259)</f>
        <v>45283</v>
      </c>
      <c r="Q259" s="1">
        <f t="shared" ref="Q259:Q322" ca="1" si="53">P259 + RANDBETWEEN(-5,20)</f>
        <v>45286</v>
      </c>
      <c r="R259">
        <f t="shared" ref="R259:R322" ca="1" si="54">Q259-M259</f>
        <v>48</v>
      </c>
      <c r="S259" t="str">
        <f t="shared" ref="S259:S322" ca="1" si="55">IF(Q259&lt;=P259,"On Time","Late")</f>
        <v>Late</v>
      </c>
      <c r="T259" t="str">
        <f t="shared" ref="T259:T322" ca="1" si="56">IF(R259&lt;=30,"0-30",
IF(R259&lt;=60,"31-60",
IF(R259&lt;=90,"61-90","90+")))</f>
        <v>31-60</v>
      </c>
      <c r="U259">
        <f t="shared" ref="U259:U322" ca="1" si="57">MAX(0,Q259-P259)</f>
        <v>3</v>
      </c>
      <c r="V259" t="str">
        <f t="shared" ref="V259:V322" ca="1" si="58">IF(U259=0,"Efficient","Inefficient")</f>
        <v>Inefficient</v>
      </c>
      <c r="W259">
        <f t="shared" ref="W259:W322" si="59">G259*I259</f>
        <v>50746.29</v>
      </c>
    </row>
    <row r="260" spans="1:23" x14ac:dyDescent="0.35">
      <c r="A260" t="s">
        <v>285</v>
      </c>
      <c r="B260" t="s">
        <v>29</v>
      </c>
      <c r="C260" s="1">
        <v>45003</v>
      </c>
      <c r="E260" t="s">
        <v>13</v>
      </c>
      <c r="F260" t="s">
        <v>18</v>
      </c>
      <c r="G260">
        <v>1745</v>
      </c>
      <c r="H260">
        <v>26.17</v>
      </c>
      <c r="I260">
        <v>22.25</v>
      </c>
      <c r="J260">
        <v>55</v>
      </c>
      <c r="K260">
        <f t="shared" si="48"/>
        <v>1690</v>
      </c>
      <c r="L260" t="s">
        <v>15</v>
      </c>
      <c r="M260" s="1">
        <f t="shared" si="49"/>
        <v>0</v>
      </c>
      <c r="N260" t="str">
        <f t="shared" ca="1" si="50"/>
        <v>Net 30</v>
      </c>
      <c r="O260">
        <f t="shared" ca="1" si="51"/>
        <v>30</v>
      </c>
      <c r="P260" s="1">
        <f t="shared" ca="1" si="52"/>
        <v>30</v>
      </c>
      <c r="Q260" s="1">
        <f t="shared" ca="1" si="53"/>
        <v>46</v>
      </c>
      <c r="R260">
        <f t="shared" ca="1" si="54"/>
        <v>46</v>
      </c>
      <c r="S260" t="str">
        <f t="shared" ca="1" si="55"/>
        <v>Late</v>
      </c>
      <c r="T260" t="str">
        <f t="shared" ca="1" si="56"/>
        <v>31-60</v>
      </c>
      <c r="U260">
        <f t="shared" ca="1" si="57"/>
        <v>16</v>
      </c>
      <c r="V260" t="str">
        <f t="shared" ca="1" si="58"/>
        <v>Inefficient</v>
      </c>
      <c r="W260">
        <f t="shared" si="59"/>
        <v>38826.25</v>
      </c>
    </row>
    <row r="261" spans="1:23" x14ac:dyDescent="0.35">
      <c r="A261" t="s">
        <v>286</v>
      </c>
      <c r="B261" t="s">
        <v>23</v>
      </c>
      <c r="C261" s="1">
        <v>44924</v>
      </c>
      <c r="D261" s="1">
        <v>44940</v>
      </c>
      <c r="E261" t="s">
        <v>13</v>
      </c>
      <c r="F261" t="s">
        <v>18</v>
      </c>
      <c r="G261">
        <v>1681</v>
      </c>
      <c r="H261">
        <v>28.26</v>
      </c>
      <c r="I261">
        <v>26.62</v>
      </c>
      <c r="J261">
        <v>143</v>
      </c>
      <c r="K261">
        <f t="shared" si="48"/>
        <v>1538</v>
      </c>
      <c r="L261" t="s">
        <v>15</v>
      </c>
      <c r="M261" s="1">
        <f t="shared" si="49"/>
        <v>44940</v>
      </c>
      <c r="N261" t="str">
        <f t="shared" ca="1" si="50"/>
        <v>Net 15</v>
      </c>
      <c r="O261">
        <f t="shared" ca="1" si="51"/>
        <v>15</v>
      </c>
      <c r="P261" s="1">
        <f t="shared" ca="1" si="52"/>
        <v>44955</v>
      </c>
      <c r="Q261" s="1">
        <f t="shared" ca="1" si="53"/>
        <v>44961</v>
      </c>
      <c r="R261">
        <f t="shared" ca="1" si="54"/>
        <v>21</v>
      </c>
      <c r="S261" t="str">
        <f t="shared" ca="1" si="55"/>
        <v>Late</v>
      </c>
      <c r="T261" t="str">
        <f t="shared" ca="1" si="56"/>
        <v>0-30</v>
      </c>
      <c r="U261">
        <f t="shared" ca="1" si="57"/>
        <v>6</v>
      </c>
      <c r="V261" t="str">
        <f t="shared" ca="1" si="58"/>
        <v>Inefficient</v>
      </c>
      <c r="W261">
        <f t="shared" si="59"/>
        <v>44748.22</v>
      </c>
    </row>
    <row r="262" spans="1:23" x14ac:dyDescent="0.35">
      <c r="A262" t="s">
        <v>287</v>
      </c>
      <c r="B262" t="s">
        <v>17</v>
      </c>
      <c r="C262" s="1">
        <v>44995</v>
      </c>
      <c r="D262" s="1">
        <v>45003</v>
      </c>
      <c r="E262" t="s">
        <v>39</v>
      </c>
      <c r="F262" t="s">
        <v>18</v>
      </c>
      <c r="G262">
        <v>1545</v>
      </c>
      <c r="H262">
        <v>38.15</v>
      </c>
      <c r="I262">
        <v>36.96</v>
      </c>
      <c r="J262">
        <v>214</v>
      </c>
      <c r="K262">
        <f t="shared" si="48"/>
        <v>1331</v>
      </c>
      <c r="L262" t="s">
        <v>15</v>
      </c>
      <c r="M262" s="1">
        <f t="shared" si="49"/>
        <v>45003</v>
      </c>
      <c r="N262" t="str">
        <f t="shared" ca="1" si="50"/>
        <v>Net 15</v>
      </c>
      <c r="O262">
        <f t="shared" ca="1" si="51"/>
        <v>15</v>
      </c>
      <c r="P262" s="1">
        <f t="shared" ca="1" si="52"/>
        <v>45018</v>
      </c>
      <c r="Q262" s="1">
        <f t="shared" ca="1" si="53"/>
        <v>45034</v>
      </c>
      <c r="R262">
        <f t="shared" ca="1" si="54"/>
        <v>31</v>
      </c>
      <c r="S262" t="str">
        <f t="shared" ca="1" si="55"/>
        <v>Late</v>
      </c>
      <c r="T262" t="str">
        <f t="shared" ca="1" si="56"/>
        <v>31-60</v>
      </c>
      <c r="U262">
        <f t="shared" ca="1" si="57"/>
        <v>16</v>
      </c>
      <c r="V262" t="str">
        <f t="shared" ca="1" si="58"/>
        <v>Inefficient</v>
      </c>
      <c r="W262">
        <f t="shared" si="59"/>
        <v>57103.200000000004</v>
      </c>
    </row>
    <row r="263" spans="1:23" x14ac:dyDescent="0.35">
      <c r="A263" t="s">
        <v>288</v>
      </c>
      <c r="B263" t="s">
        <v>29</v>
      </c>
      <c r="C263" s="1">
        <v>44982</v>
      </c>
      <c r="D263" s="1">
        <v>44987</v>
      </c>
      <c r="E263" t="s">
        <v>26</v>
      </c>
      <c r="F263" t="s">
        <v>18</v>
      </c>
      <c r="G263">
        <v>1306</v>
      </c>
      <c r="H263">
        <v>27.27</v>
      </c>
      <c r="I263">
        <v>25.96</v>
      </c>
      <c r="J263">
        <v>39</v>
      </c>
      <c r="K263">
        <f t="shared" si="48"/>
        <v>1267</v>
      </c>
      <c r="L263" t="s">
        <v>15</v>
      </c>
      <c r="M263" s="1">
        <f t="shared" si="49"/>
        <v>44987</v>
      </c>
      <c r="N263" t="str">
        <f t="shared" ca="1" si="50"/>
        <v>Net 30</v>
      </c>
      <c r="O263">
        <f t="shared" ca="1" si="51"/>
        <v>30</v>
      </c>
      <c r="P263" s="1">
        <f t="shared" ca="1" si="52"/>
        <v>45017</v>
      </c>
      <c r="Q263" s="1">
        <f t="shared" ca="1" si="53"/>
        <v>45037</v>
      </c>
      <c r="R263">
        <f t="shared" ca="1" si="54"/>
        <v>50</v>
      </c>
      <c r="S263" t="str">
        <f t="shared" ca="1" si="55"/>
        <v>Late</v>
      </c>
      <c r="T263" t="str">
        <f t="shared" ca="1" si="56"/>
        <v>31-60</v>
      </c>
      <c r="U263">
        <f t="shared" ca="1" si="57"/>
        <v>20</v>
      </c>
      <c r="V263" t="str">
        <f t="shared" ca="1" si="58"/>
        <v>Inefficient</v>
      </c>
      <c r="W263">
        <f t="shared" si="59"/>
        <v>33903.760000000002</v>
      </c>
    </row>
    <row r="264" spans="1:23" x14ac:dyDescent="0.35">
      <c r="A264" t="s">
        <v>289</v>
      </c>
      <c r="B264" t="s">
        <v>20</v>
      </c>
      <c r="C264" s="1">
        <v>45040</v>
      </c>
      <c r="D264" s="1">
        <v>45052</v>
      </c>
      <c r="E264" t="s">
        <v>26</v>
      </c>
      <c r="F264" t="s">
        <v>18</v>
      </c>
      <c r="G264">
        <v>1765</v>
      </c>
      <c r="H264">
        <v>97.51</v>
      </c>
      <c r="I264">
        <v>84.3</v>
      </c>
      <c r="J264">
        <v>65</v>
      </c>
      <c r="K264">
        <f t="shared" si="48"/>
        <v>1700</v>
      </c>
      <c r="L264" t="s">
        <v>15</v>
      </c>
      <c r="M264" s="1">
        <f t="shared" si="49"/>
        <v>45052</v>
      </c>
      <c r="N264" t="str">
        <f t="shared" ca="1" si="50"/>
        <v>Net 30</v>
      </c>
      <c r="O264">
        <f t="shared" ca="1" si="51"/>
        <v>30</v>
      </c>
      <c r="P264" s="1">
        <f t="shared" ca="1" si="52"/>
        <v>45082</v>
      </c>
      <c r="Q264" s="1">
        <f t="shared" ca="1" si="53"/>
        <v>45082</v>
      </c>
      <c r="R264">
        <f t="shared" ca="1" si="54"/>
        <v>30</v>
      </c>
      <c r="S264" t="str">
        <f t="shared" ca="1" si="55"/>
        <v>On Time</v>
      </c>
      <c r="T264" t="str">
        <f t="shared" ca="1" si="56"/>
        <v>0-30</v>
      </c>
      <c r="U264">
        <f t="shared" ca="1" si="57"/>
        <v>0</v>
      </c>
      <c r="V264" t="str">
        <f t="shared" ca="1" si="58"/>
        <v>Efficient</v>
      </c>
      <c r="W264">
        <f t="shared" si="59"/>
        <v>148789.5</v>
      </c>
    </row>
    <row r="265" spans="1:23" x14ac:dyDescent="0.35">
      <c r="A265" t="s">
        <v>290</v>
      </c>
      <c r="B265" t="s">
        <v>20</v>
      </c>
      <c r="C265" s="1">
        <v>44617</v>
      </c>
      <c r="D265" s="1">
        <v>44635</v>
      </c>
      <c r="E265" t="s">
        <v>24</v>
      </c>
      <c r="F265" t="s">
        <v>14</v>
      </c>
      <c r="G265">
        <v>1186</v>
      </c>
      <c r="H265">
        <v>17.309999999999999</v>
      </c>
      <c r="I265">
        <v>16</v>
      </c>
      <c r="J265">
        <v>64</v>
      </c>
      <c r="K265">
        <f t="shared" si="48"/>
        <v>1122</v>
      </c>
      <c r="L265" t="s">
        <v>15</v>
      </c>
      <c r="M265" s="1">
        <f t="shared" si="49"/>
        <v>44635</v>
      </c>
      <c r="N265" t="str">
        <f t="shared" ca="1" si="50"/>
        <v>Net 45</v>
      </c>
      <c r="O265">
        <f t="shared" ca="1" si="51"/>
        <v>45</v>
      </c>
      <c r="P265" s="1">
        <f t="shared" ca="1" si="52"/>
        <v>44680</v>
      </c>
      <c r="Q265" s="1">
        <f t="shared" ca="1" si="53"/>
        <v>44690</v>
      </c>
      <c r="R265">
        <f t="shared" ca="1" si="54"/>
        <v>55</v>
      </c>
      <c r="S265" t="str">
        <f t="shared" ca="1" si="55"/>
        <v>Late</v>
      </c>
      <c r="T265" t="str">
        <f t="shared" ca="1" si="56"/>
        <v>31-60</v>
      </c>
      <c r="U265">
        <f t="shared" ca="1" si="57"/>
        <v>10</v>
      </c>
      <c r="V265" t="str">
        <f t="shared" ca="1" si="58"/>
        <v>Inefficient</v>
      </c>
      <c r="W265">
        <f t="shared" si="59"/>
        <v>18976</v>
      </c>
    </row>
    <row r="266" spans="1:23" x14ac:dyDescent="0.35">
      <c r="A266" t="s">
        <v>291</v>
      </c>
      <c r="B266" t="s">
        <v>17</v>
      </c>
      <c r="C266" s="1">
        <v>45251</v>
      </c>
      <c r="D266" s="1">
        <v>45256</v>
      </c>
      <c r="E266" t="s">
        <v>24</v>
      </c>
      <c r="F266" t="s">
        <v>18</v>
      </c>
      <c r="G266">
        <v>1903</v>
      </c>
      <c r="H266">
        <v>63.5</v>
      </c>
      <c r="I266">
        <v>56.09</v>
      </c>
      <c r="J266">
        <v>254</v>
      </c>
      <c r="K266">
        <f t="shared" si="48"/>
        <v>1649</v>
      </c>
      <c r="L266" t="s">
        <v>15</v>
      </c>
      <c r="M266" s="1">
        <f t="shared" si="49"/>
        <v>45256</v>
      </c>
      <c r="N266" t="str">
        <f t="shared" ca="1" si="50"/>
        <v>Net 15</v>
      </c>
      <c r="O266">
        <f t="shared" ca="1" si="51"/>
        <v>15</v>
      </c>
      <c r="P266" s="1">
        <f t="shared" ca="1" si="52"/>
        <v>45271</v>
      </c>
      <c r="Q266" s="1">
        <f t="shared" ca="1" si="53"/>
        <v>45273</v>
      </c>
      <c r="R266">
        <f t="shared" ca="1" si="54"/>
        <v>17</v>
      </c>
      <c r="S266" t="str">
        <f t="shared" ca="1" si="55"/>
        <v>Late</v>
      </c>
      <c r="T266" t="str">
        <f t="shared" ca="1" si="56"/>
        <v>0-30</v>
      </c>
      <c r="U266">
        <f t="shared" ca="1" si="57"/>
        <v>2</v>
      </c>
      <c r="V266" t="str">
        <f t="shared" ca="1" si="58"/>
        <v>Inefficient</v>
      </c>
      <c r="W266">
        <f t="shared" si="59"/>
        <v>106739.27</v>
      </c>
    </row>
    <row r="267" spans="1:23" x14ac:dyDescent="0.35">
      <c r="A267" t="s">
        <v>292</v>
      </c>
      <c r="B267" t="s">
        <v>17</v>
      </c>
      <c r="C267" s="1">
        <v>45231</v>
      </c>
      <c r="D267" s="1">
        <v>45235</v>
      </c>
      <c r="E267" t="s">
        <v>21</v>
      </c>
      <c r="F267" t="s">
        <v>18</v>
      </c>
      <c r="G267">
        <v>1570</v>
      </c>
      <c r="H267">
        <v>52.1</v>
      </c>
      <c r="I267">
        <v>47.87</v>
      </c>
      <c r="K267">
        <f t="shared" si="48"/>
        <v>1570</v>
      </c>
      <c r="L267" t="s">
        <v>27</v>
      </c>
      <c r="M267" s="1">
        <f t="shared" si="49"/>
        <v>45235</v>
      </c>
      <c r="N267" t="str">
        <f t="shared" ca="1" si="50"/>
        <v>Net 15</v>
      </c>
      <c r="O267">
        <f t="shared" ca="1" si="51"/>
        <v>15</v>
      </c>
      <c r="P267" s="1">
        <f t="shared" ca="1" si="52"/>
        <v>45250</v>
      </c>
      <c r="Q267" s="1">
        <f t="shared" ca="1" si="53"/>
        <v>45259</v>
      </c>
      <c r="R267">
        <f t="shared" ca="1" si="54"/>
        <v>24</v>
      </c>
      <c r="S267" t="str">
        <f t="shared" ca="1" si="55"/>
        <v>Late</v>
      </c>
      <c r="T267" t="str">
        <f t="shared" ca="1" si="56"/>
        <v>0-30</v>
      </c>
      <c r="U267">
        <f t="shared" ca="1" si="57"/>
        <v>9</v>
      </c>
      <c r="V267" t="str">
        <f t="shared" ca="1" si="58"/>
        <v>Inefficient</v>
      </c>
      <c r="W267">
        <f t="shared" si="59"/>
        <v>75155.899999999994</v>
      </c>
    </row>
    <row r="268" spans="1:23" x14ac:dyDescent="0.35">
      <c r="A268" t="s">
        <v>293</v>
      </c>
      <c r="B268" t="s">
        <v>17</v>
      </c>
      <c r="C268" s="1">
        <v>45223</v>
      </c>
      <c r="D268" s="1">
        <v>45243</v>
      </c>
      <c r="E268" t="s">
        <v>21</v>
      </c>
      <c r="F268" t="s">
        <v>18</v>
      </c>
      <c r="G268">
        <v>491</v>
      </c>
      <c r="H268">
        <v>108.75</v>
      </c>
      <c r="I268">
        <v>93.35</v>
      </c>
      <c r="K268">
        <f t="shared" si="48"/>
        <v>491</v>
      </c>
      <c r="L268" t="s">
        <v>27</v>
      </c>
      <c r="M268" s="1">
        <f t="shared" si="49"/>
        <v>45243</v>
      </c>
      <c r="N268" t="str">
        <f t="shared" ca="1" si="50"/>
        <v>Net 45</v>
      </c>
      <c r="O268">
        <f t="shared" ca="1" si="51"/>
        <v>45</v>
      </c>
      <c r="P268" s="1">
        <f t="shared" ca="1" si="52"/>
        <v>45288</v>
      </c>
      <c r="Q268" s="1">
        <f t="shared" ca="1" si="53"/>
        <v>45303</v>
      </c>
      <c r="R268">
        <f t="shared" ca="1" si="54"/>
        <v>60</v>
      </c>
      <c r="S268" t="str">
        <f t="shared" ca="1" si="55"/>
        <v>Late</v>
      </c>
      <c r="T268" t="str">
        <f t="shared" ca="1" si="56"/>
        <v>31-60</v>
      </c>
      <c r="U268">
        <f t="shared" ca="1" si="57"/>
        <v>15</v>
      </c>
      <c r="V268" t="str">
        <f t="shared" ca="1" si="58"/>
        <v>Inefficient</v>
      </c>
      <c r="W268">
        <f t="shared" si="59"/>
        <v>45834.85</v>
      </c>
    </row>
    <row r="269" spans="1:23" x14ac:dyDescent="0.35">
      <c r="A269" t="s">
        <v>294</v>
      </c>
      <c r="B269" t="s">
        <v>23</v>
      </c>
      <c r="C269" s="1">
        <v>44662</v>
      </c>
      <c r="D269" s="1">
        <v>44671</v>
      </c>
      <c r="E269" t="s">
        <v>39</v>
      </c>
      <c r="F269" t="s">
        <v>33</v>
      </c>
      <c r="G269">
        <v>613</v>
      </c>
      <c r="H269">
        <v>20.38</v>
      </c>
      <c r="I269">
        <v>20.170000000000002</v>
      </c>
      <c r="J269">
        <v>58</v>
      </c>
      <c r="K269">
        <f t="shared" si="48"/>
        <v>555</v>
      </c>
      <c r="L269" t="s">
        <v>15</v>
      </c>
      <c r="M269" s="1">
        <f t="shared" si="49"/>
        <v>44671</v>
      </c>
      <c r="N269" t="str">
        <f t="shared" ca="1" si="50"/>
        <v>Net 30</v>
      </c>
      <c r="O269">
        <f t="shared" ca="1" si="51"/>
        <v>30</v>
      </c>
      <c r="P269" s="1">
        <f t="shared" ca="1" si="52"/>
        <v>44701</v>
      </c>
      <c r="Q269" s="1">
        <f t="shared" ca="1" si="53"/>
        <v>44711</v>
      </c>
      <c r="R269">
        <f t="shared" ca="1" si="54"/>
        <v>40</v>
      </c>
      <c r="S269" t="str">
        <f t="shared" ca="1" si="55"/>
        <v>Late</v>
      </c>
      <c r="T269" t="str">
        <f t="shared" ca="1" si="56"/>
        <v>31-60</v>
      </c>
      <c r="U269">
        <f t="shared" ca="1" si="57"/>
        <v>10</v>
      </c>
      <c r="V269" t="str">
        <f t="shared" ca="1" si="58"/>
        <v>Inefficient</v>
      </c>
      <c r="W269">
        <f t="shared" si="59"/>
        <v>12364.210000000001</v>
      </c>
    </row>
    <row r="270" spans="1:23" x14ac:dyDescent="0.35">
      <c r="A270" t="s">
        <v>295</v>
      </c>
      <c r="B270" t="s">
        <v>20</v>
      </c>
      <c r="C270" s="1">
        <v>44624</v>
      </c>
      <c r="D270" s="1">
        <v>44636</v>
      </c>
      <c r="E270" t="s">
        <v>26</v>
      </c>
      <c r="F270" t="s">
        <v>33</v>
      </c>
      <c r="G270">
        <v>1341</v>
      </c>
      <c r="H270">
        <v>46.27</v>
      </c>
      <c r="I270">
        <v>43.94</v>
      </c>
      <c r="J270">
        <v>63</v>
      </c>
      <c r="K270">
        <f t="shared" si="48"/>
        <v>1278</v>
      </c>
      <c r="L270" t="s">
        <v>15</v>
      </c>
      <c r="M270" s="1">
        <f t="shared" si="49"/>
        <v>44636</v>
      </c>
      <c r="N270" t="str">
        <f t="shared" ca="1" si="50"/>
        <v>Net 45</v>
      </c>
      <c r="O270">
        <f t="shared" ca="1" si="51"/>
        <v>45</v>
      </c>
      <c r="P270" s="1">
        <f t="shared" ca="1" si="52"/>
        <v>44681</v>
      </c>
      <c r="Q270" s="1">
        <f t="shared" ca="1" si="53"/>
        <v>44690</v>
      </c>
      <c r="R270">
        <f t="shared" ca="1" si="54"/>
        <v>54</v>
      </c>
      <c r="S270" t="str">
        <f t="shared" ca="1" si="55"/>
        <v>Late</v>
      </c>
      <c r="T270" t="str">
        <f t="shared" ca="1" si="56"/>
        <v>31-60</v>
      </c>
      <c r="U270">
        <f t="shared" ca="1" si="57"/>
        <v>9</v>
      </c>
      <c r="V270" t="str">
        <f t="shared" ca="1" si="58"/>
        <v>Inefficient</v>
      </c>
      <c r="W270">
        <f t="shared" si="59"/>
        <v>58923.539999999994</v>
      </c>
    </row>
    <row r="271" spans="1:23" x14ac:dyDescent="0.35">
      <c r="A271" t="s">
        <v>296</v>
      </c>
      <c r="B271" t="s">
        <v>23</v>
      </c>
      <c r="C271" s="1">
        <v>44974</v>
      </c>
      <c r="D271" s="1">
        <v>44989</v>
      </c>
      <c r="E271" t="s">
        <v>21</v>
      </c>
      <c r="F271" t="s">
        <v>33</v>
      </c>
      <c r="G271">
        <v>1583</v>
      </c>
      <c r="H271">
        <v>103.57</v>
      </c>
      <c r="I271">
        <v>89.38</v>
      </c>
      <c r="J271">
        <v>164</v>
      </c>
      <c r="K271">
        <f t="shared" si="48"/>
        <v>1419</v>
      </c>
      <c r="L271" t="s">
        <v>15</v>
      </c>
      <c r="M271" s="1">
        <f t="shared" si="49"/>
        <v>44989</v>
      </c>
      <c r="N271" t="str">
        <f t="shared" ca="1" si="50"/>
        <v>Net 45</v>
      </c>
      <c r="O271">
        <f t="shared" ca="1" si="51"/>
        <v>45</v>
      </c>
      <c r="P271" s="1">
        <f t="shared" ca="1" si="52"/>
        <v>45034</v>
      </c>
      <c r="Q271" s="1">
        <f t="shared" ca="1" si="53"/>
        <v>45054</v>
      </c>
      <c r="R271">
        <f t="shared" ca="1" si="54"/>
        <v>65</v>
      </c>
      <c r="S271" t="str">
        <f t="shared" ca="1" si="55"/>
        <v>Late</v>
      </c>
      <c r="T271" t="str">
        <f t="shared" ca="1" si="56"/>
        <v>61-90</v>
      </c>
      <c r="U271">
        <f t="shared" ca="1" si="57"/>
        <v>20</v>
      </c>
      <c r="V271" t="str">
        <f t="shared" ca="1" si="58"/>
        <v>Inefficient</v>
      </c>
      <c r="W271">
        <f t="shared" si="59"/>
        <v>141488.53999999998</v>
      </c>
    </row>
    <row r="272" spans="1:23" x14ac:dyDescent="0.35">
      <c r="A272" t="s">
        <v>297</v>
      </c>
      <c r="B272" t="s">
        <v>23</v>
      </c>
      <c r="C272" s="1">
        <v>44909</v>
      </c>
      <c r="E272" t="s">
        <v>26</v>
      </c>
      <c r="F272" t="s">
        <v>14</v>
      </c>
      <c r="G272">
        <v>1880</v>
      </c>
      <c r="H272">
        <v>92.73</v>
      </c>
      <c r="I272">
        <v>90.78</v>
      </c>
      <c r="J272">
        <v>173</v>
      </c>
      <c r="K272">
        <f t="shared" si="48"/>
        <v>1707</v>
      </c>
      <c r="L272" t="s">
        <v>15</v>
      </c>
      <c r="M272" s="1">
        <f t="shared" si="49"/>
        <v>0</v>
      </c>
      <c r="N272" t="str">
        <f t="shared" ca="1" si="50"/>
        <v>Net 45</v>
      </c>
      <c r="O272">
        <f t="shared" ca="1" si="51"/>
        <v>45</v>
      </c>
      <c r="P272" s="1">
        <f t="shared" ca="1" si="52"/>
        <v>45</v>
      </c>
      <c r="Q272" s="1">
        <f t="shared" ca="1" si="53"/>
        <v>61</v>
      </c>
      <c r="R272">
        <f t="shared" ca="1" si="54"/>
        <v>61</v>
      </c>
      <c r="S272" t="str">
        <f t="shared" ca="1" si="55"/>
        <v>Late</v>
      </c>
      <c r="T272" t="str">
        <f t="shared" ca="1" si="56"/>
        <v>61-90</v>
      </c>
      <c r="U272">
        <f t="shared" ca="1" si="57"/>
        <v>16</v>
      </c>
      <c r="V272" t="str">
        <f t="shared" ca="1" si="58"/>
        <v>Inefficient</v>
      </c>
      <c r="W272">
        <f t="shared" si="59"/>
        <v>170666.4</v>
      </c>
    </row>
    <row r="273" spans="1:23" x14ac:dyDescent="0.35">
      <c r="A273" t="s">
        <v>298</v>
      </c>
      <c r="B273" t="s">
        <v>29</v>
      </c>
      <c r="C273" s="1">
        <v>44673</v>
      </c>
      <c r="D273" s="1">
        <v>44677</v>
      </c>
      <c r="E273" t="s">
        <v>21</v>
      </c>
      <c r="F273" t="s">
        <v>18</v>
      </c>
      <c r="G273">
        <v>1459</v>
      </c>
      <c r="H273">
        <v>84.79</v>
      </c>
      <c r="I273">
        <v>82.72</v>
      </c>
      <c r="J273">
        <v>47</v>
      </c>
      <c r="K273">
        <f t="shared" si="48"/>
        <v>1412</v>
      </c>
      <c r="L273" t="s">
        <v>15</v>
      </c>
      <c r="M273" s="1">
        <f t="shared" si="49"/>
        <v>44677</v>
      </c>
      <c r="N273" t="str">
        <f t="shared" ca="1" si="50"/>
        <v>Net 30</v>
      </c>
      <c r="O273">
        <f t="shared" ca="1" si="51"/>
        <v>30</v>
      </c>
      <c r="P273" s="1">
        <f t="shared" ca="1" si="52"/>
        <v>44707</v>
      </c>
      <c r="Q273" s="1">
        <f t="shared" ca="1" si="53"/>
        <v>44720</v>
      </c>
      <c r="R273">
        <f t="shared" ca="1" si="54"/>
        <v>43</v>
      </c>
      <c r="S273" t="str">
        <f t="shared" ca="1" si="55"/>
        <v>Late</v>
      </c>
      <c r="T273" t="str">
        <f t="shared" ca="1" si="56"/>
        <v>31-60</v>
      </c>
      <c r="U273">
        <f t="shared" ca="1" si="57"/>
        <v>13</v>
      </c>
      <c r="V273" t="str">
        <f t="shared" ca="1" si="58"/>
        <v>Inefficient</v>
      </c>
      <c r="W273">
        <f t="shared" si="59"/>
        <v>120688.48</v>
      </c>
    </row>
    <row r="274" spans="1:23" x14ac:dyDescent="0.35">
      <c r="A274" t="s">
        <v>299</v>
      </c>
      <c r="B274" t="s">
        <v>17</v>
      </c>
      <c r="C274" s="1">
        <v>44816</v>
      </c>
      <c r="E274" t="s">
        <v>13</v>
      </c>
      <c r="F274" t="s">
        <v>18</v>
      </c>
      <c r="G274">
        <v>1460</v>
      </c>
      <c r="H274">
        <v>34.54</v>
      </c>
      <c r="I274">
        <v>31.87</v>
      </c>
      <c r="J274">
        <v>208</v>
      </c>
      <c r="K274">
        <f t="shared" si="48"/>
        <v>1252</v>
      </c>
      <c r="L274" t="s">
        <v>27</v>
      </c>
      <c r="M274" s="1">
        <f t="shared" si="49"/>
        <v>0</v>
      </c>
      <c r="N274" t="str">
        <f t="shared" ca="1" si="50"/>
        <v>Net 30</v>
      </c>
      <c r="O274">
        <f t="shared" ca="1" si="51"/>
        <v>30</v>
      </c>
      <c r="P274" s="1">
        <f t="shared" ca="1" si="52"/>
        <v>30</v>
      </c>
      <c r="Q274" s="1">
        <f t="shared" ca="1" si="53"/>
        <v>40</v>
      </c>
      <c r="R274">
        <f t="shared" ca="1" si="54"/>
        <v>40</v>
      </c>
      <c r="S274" t="str">
        <f t="shared" ca="1" si="55"/>
        <v>Late</v>
      </c>
      <c r="T274" t="str">
        <f t="shared" ca="1" si="56"/>
        <v>31-60</v>
      </c>
      <c r="U274">
        <f t="shared" ca="1" si="57"/>
        <v>10</v>
      </c>
      <c r="V274" t="str">
        <f t="shared" ca="1" si="58"/>
        <v>Inefficient</v>
      </c>
      <c r="W274">
        <f t="shared" si="59"/>
        <v>46530.200000000004</v>
      </c>
    </row>
    <row r="275" spans="1:23" x14ac:dyDescent="0.35">
      <c r="A275" t="s">
        <v>300</v>
      </c>
      <c r="B275" t="s">
        <v>23</v>
      </c>
      <c r="C275" s="1">
        <v>44758</v>
      </c>
      <c r="D275" s="1">
        <v>44770</v>
      </c>
      <c r="E275" t="s">
        <v>24</v>
      </c>
      <c r="F275" t="s">
        <v>33</v>
      </c>
      <c r="G275">
        <v>1186</v>
      </c>
      <c r="H275">
        <v>26.14</v>
      </c>
      <c r="I275">
        <v>24.78</v>
      </c>
      <c r="J275">
        <v>112</v>
      </c>
      <c r="K275">
        <f t="shared" si="48"/>
        <v>1074</v>
      </c>
      <c r="L275" t="s">
        <v>15</v>
      </c>
      <c r="M275" s="1">
        <f t="shared" si="49"/>
        <v>44770</v>
      </c>
      <c r="N275" t="str">
        <f t="shared" ca="1" si="50"/>
        <v>Net 15</v>
      </c>
      <c r="O275">
        <f t="shared" ca="1" si="51"/>
        <v>15</v>
      </c>
      <c r="P275" s="1">
        <f t="shared" ca="1" si="52"/>
        <v>44785</v>
      </c>
      <c r="Q275" s="1">
        <f t="shared" ca="1" si="53"/>
        <v>44801</v>
      </c>
      <c r="R275">
        <f t="shared" ca="1" si="54"/>
        <v>31</v>
      </c>
      <c r="S275" t="str">
        <f t="shared" ca="1" si="55"/>
        <v>Late</v>
      </c>
      <c r="T275" t="str">
        <f t="shared" ca="1" si="56"/>
        <v>31-60</v>
      </c>
      <c r="U275">
        <f t="shared" ca="1" si="57"/>
        <v>16</v>
      </c>
      <c r="V275" t="str">
        <f t="shared" ca="1" si="58"/>
        <v>Inefficient</v>
      </c>
      <c r="W275">
        <f t="shared" si="59"/>
        <v>29389.08</v>
      </c>
    </row>
    <row r="276" spans="1:23" x14ac:dyDescent="0.35">
      <c r="A276" t="s">
        <v>301</v>
      </c>
      <c r="B276" t="s">
        <v>29</v>
      </c>
      <c r="C276" s="1">
        <v>44756</v>
      </c>
      <c r="D276" s="1">
        <v>44765</v>
      </c>
      <c r="E276" t="s">
        <v>21</v>
      </c>
      <c r="F276" t="s">
        <v>35</v>
      </c>
      <c r="G276">
        <v>1686</v>
      </c>
      <c r="H276">
        <v>72.28</v>
      </c>
      <c r="I276">
        <v>65.209999999999994</v>
      </c>
      <c r="J276">
        <v>53</v>
      </c>
      <c r="K276">
        <f t="shared" si="48"/>
        <v>1633</v>
      </c>
      <c r="L276" t="s">
        <v>15</v>
      </c>
      <c r="M276" s="1">
        <f t="shared" si="49"/>
        <v>44765</v>
      </c>
      <c r="N276" t="str">
        <f t="shared" ca="1" si="50"/>
        <v>Net 30</v>
      </c>
      <c r="O276">
        <f t="shared" ca="1" si="51"/>
        <v>30</v>
      </c>
      <c r="P276" s="1">
        <f t="shared" ca="1" si="52"/>
        <v>44795</v>
      </c>
      <c r="Q276" s="1">
        <f t="shared" ca="1" si="53"/>
        <v>44806</v>
      </c>
      <c r="R276">
        <f t="shared" ca="1" si="54"/>
        <v>41</v>
      </c>
      <c r="S276" t="str">
        <f t="shared" ca="1" si="55"/>
        <v>Late</v>
      </c>
      <c r="T276" t="str">
        <f t="shared" ca="1" si="56"/>
        <v>31-60</v>
      </c>
      <c r="U276">
        <f t="shared" ca="1" si="57"/>
        <v>11</v>
      </c>
      <c r="V276" t="str">
        <f t="shared" ca="1" si="58"/>
        <v>Inefficient</v>
      </c>
      <c r="W276">
        <f t="shared" si="59"/>
        <v>109944.05999999998</v>
      </c>
    </row>
    <row r="277" spans="1:23" x14ac:dyDescent="0.35">
      <c r="A277" t="s">
        <v>302</v>
      </c>
      <c r="B277" t="s">
        <v>12</v>
      </c>
      <c r="C277" s="1">
        <v>45111</v>
      </c>
      <c r="D277" s="1">
        <v>45115</v>
      </c>
      <c r="E277" t="s">
        <v>21</v>
      </c>
      <c r="F277" t="s">
        <v>18</v>
      </c>
      <c r="G277">
        <v>1698</v>
      </c>
      <c r="H277">
        <v>102.07</v>
      </c>
      <c r="I277">
        <v>100.69</v>
      </c>
      <c r="J277">
        <v>28</v>
      </c>
      <c r="K277">
        <f t="shared" si="48"/>
        <v>1670</v>
      </c>
      <c r="L277" t="s">
        <v>15</v>
      </c>
      <c r="M277" s="1">
        <f t="shared" si="49"/>
        <v>45115</v>
      </c>
      <c r="N277" t="str">
        <f t="shared" ca="1" si="50"/>
        <v>Net 30</v>
      </c>
      <c r="O277">
        <f t="shared" ca="1" si="51"/>
        <v>30</v>
      </c>
      <c r="P277" s="1">
        <f t="shared" ca="1" si="52"/>
        <v>45145</v>
      </c>
      <c r="Q277" s="1">
        <f t="shared" ca="1" si="53"/>
        <v>45155</v>
      </c>
      <c r="R277">
        <f t="shared" ca="1" si="54"/>
        <v>40</v>
      </c>
      <c r="S277" t="str">
        <f t="shared" ca="1" si="55"/>
        <v>Late</v>
      </c>
      <c r="T277" t="str">
        <f t="shared" ca="1" si="56"/>
        <v>31-60</v>
      </c>
      <c r="U277">
        <f t="shared" ca="1" si="57"/>
        <v>10</v>
      </c>
      <c r="V277" t="str">
        <f t="shared" ca="1" si="58"/>
        <v>Inefficient</v>
      </c>
      <c r="W277">
        <f t="shared" si="59"/>
        <v>170971.62</v>
      </c>
    </row>
    <row r="278" spans="1:23" x14ac:dyDescent="0.35">
      <c r="A278" t="s">
        <v>303</v>
      </c>
      <c r="B278" t="s">
        <v>29</v>
      </c>
      <c r="C278" s="1">
        <v>45021</v>
      </c>
      <c r="E278" t="s">
        <v>39</v>
      </c>
      <c r="F278" t="s">
        <v>18</v>
      </c>
      <c r="G278">
        <v>1001</v>
      </c>
      <c r="H278">
        <v>64.62</v>
      </c>
      <c r="I278">
        <v>55.7</v>
      </c>
      <c r="J278">
        <v>32</v>
      </c>
      <c r="K278">
        <f t="shared" si="48"/>
        <v>969</v>
      </c>
      <c r="L278" t="s">
        <v>15</v>
      </c>
      <c r="M278" s="1">
        <f t="shared" si="49"/>
        <v>0</v>
      </c>
      <c r="N278" t="str">
        <f t="shared" ca="1" si="50"/>
        <v>Net 15</v>
      </c>
      <c r="O278">
        <f t="shared" ca="1" si="51"/>
        <v>15</v>
      </c>
      <c r="P278" s="1">
        <f t="shared" ca="1" si="52"/>
        <v>15</v>
      </c>
      <c r="Q278" s="1">
        <f t="shared" ca="1" si="53"/>
        <v>24</v>
      </c>
      <c r="R278">
        <f t="shared" ca="1" si="54"/>
        <v>24</v>
      </c>
      <c r="S278" t="str">
        <f t="shared" ca="1" si="55"/>
        <v>Late</v>
      </c>
      <c r="T278" t="str">
        <f t="shared" ca="1" si="56"/>
        <v>0-30</v>
      </c>
      <c r="U278">
        <f t="shared" ca="1" si="57"/>
        <v>9</v>
      </c>
      <c r="V278" t="str">
        <f t="shared" ca="1" si="58"/>
        <v>Inefficient</v>
      </c>
      <c r="W278">
        <f t="shared" si="59"/>
        <v>55755.700000000004</v>
      </c>
    </row>
    <row r="279" spans="1:23" x14ac:dyDescent="0.35">
      <c r="A279" t="s">
        <v>304</v>
      </c>
      <c r="B279" t="s">
        <v>12</v>
      </c>
      <c r="C279" s="1">
        <v>44705</v>
      </c>
      <c r="D279" s="1">
        <v>44708</v>
      </c>
      <c r="E279" t="s">
        <v>13</v>
      </c>
      <c r="F279" t="s">
        <v>18</v>
      </c>
      <c r="G279">
        <v>1154</v>
      </c>
      <c r="H279">
        <v>62.67</v>
      </c>
      <c r="I279">
        <v>54.11</v>
      </c>
      <c r="J279">
        <v>25</v>
      </c>
      <c r="K279">
        <f t="shared" si="48"/>
        <v>1129</v>
      </c>
      <c r="L279" t="s">
        <v>15</v>
      </c>
      <c r="M279" s="1">
        <f t="shared" si="49"/>
        <v>44708</v>
      </c>
      <c r="N279" t="str">
        <f t="shared" ca="1" si="50"/>
        <v>Net 45</v>
      </c>
      <c r="O279">
        <f t="shared" ca="1" si="51"/>
        <v>45</v>
      </c>
      <c r="P279" s="1">
        <f t="shared" ca="1" si="52"/>
        <v>44753</v>
      </c>
      <c r="Q279" s="1">
        <f t="shared" ca="1" si="53"/>
        <v>44748</v>
      </c>
      <c r="R279">
        <f t="shared" ca="1" si="54"/>
        <v>40</v>
      </c>
      <c r="S279" t="str">
        <f t="shared" ca="1" si="55"/>
        <v>On Time</v>
      </c>
      <c r="T279" t="str">
        <f t="shared" ca="1" si="56"/>
        <v>31-60</v>
      </c>
      <c r="U279">
        <f t="shared" ca="1" si="57"/>
        <v>0</v>
      </c>
      <c r="V279" t="str">
        <f t="shared" ca="1" si="58"/>
        <v>Efficient</v>
      </c>
      <c r="W279">
        <f t="shared" si="59"/>
        <v>62442.94</v>
      </c>
    </row>
    <row r="280" spans="1:23" x14ac:dyDescent="0.35">
      <c r="A280" t="s">
        <v>305</v>
      </c>
      <c r="B280" t="s">
        <v>12</v>
      </c>
      <c r="C280" s="1">
        <v>44994</v>
      </c>
      <c r="D280" s="1">
        <v>45014</v>
      </c>
      <c r="E280" t="s">
        <v>24</v>
      </c>
      <c r="F280" t="s">
        <v>14</v>
      </c>
      <c r="G280">
        <v>748</v>
      </c>
      <c r="H280">
        <v>37.659999999999997</v>
      </c>
      <c r="I280">
        <v>32.71</v>
      </c>
      <c r="K280">
        <f t="shared" si="48"/>
        <v>748</v>
      </c>
      <c r="L280" t="s">
        <v>27</v>
      </c>
      <c r="M280" s="1">
        <f t="shared" si="49"/>
        <v>45014</v>
      </c>
      <c r="N280" t="str">
        <f t="shared" ca="1" si="50"/>
        <v>Net 30</v>
      </c>
      <c r="O280">
        <f t="shared" ca="1" si="51"/>
        <v>30</v>
      </c>
      <c r="P280" s="1">
        <f t="shared" ca="1" si="52"/>
        <v>45044</v>
      </c>
      <c r="Q280" s="1">
        <f t="shared" ca="1" si="53"/>
        <v>45056</v>
      </c>
      <c r="R280">
        <f t="shared" ca="1" si="54"/>
        <v>42</v>
      </c>
      <c r="S280" t="str">
        <f t="shared" ca="1" si="55"/>
        <v>Late</v>
      </c>
      <c r="T280" t="str">
        <f t="shared" ca="1" si="56"/>
        <v>31-60</v>
      </c>
      <c r="U280">
        <f t="shared" ca="1" si="57"/>
        <v>12</v>
      </c>
      <c r="V280" t="str">
        <f t="shared" ca="1" si="58"/>
        <v>Inefficient</v>
      </c>
      <c r="W280">
        <f t="shared" si="59"/>
        <v>24467.08</v>
      </c>
    </row>
    <row r="281" spans="1:23" x14ac:dyDescent="0.35">
      <c r="A281" t="s">
        <v>306</v>
      </c>
      <c r="B281" t="s">
        <v>12</v>
      </c>
      <c r="C281" s="1">
        <v>44749</v>
      </c>
      <c r="E281" t="s">
        <v>13</v>
      </c>
      <c r="F281" t="s">
        <v>18</v>
      </c>
      <c r="G281">
        <v>162</v>
      </c>
      <c r="H281">
        <v>81.63</v>
      </c>
      <c r="I281">
        <v>78.760000000000005</v>
      </c>
      <c r="J281">
        <v>2</v>
      </c>
      <c r="K281">
        <f t="shared" si="48"/>
        <v>160</v>
      </c>
      <c r="L281" t="s">
        <v>15</v>
      </c>
      <c r="M281" s="1">
        <f t="shared" si="49"/>
        <v>0</v>
      </c>
      <c r="N281" t="str">
        <f t="shared" ca="1" si="50"/>
        <v>Net 15</v>
      </c>
      <c r="O281">
        <f t="shared" ca="1" si="51"/>
        <v>15</v>
      </c>
      <c r="P281" s="1">
        <f t="shared" ca="1" si="52"/>
        <v>15</v>
      </c>
      <c r="Q281" s="1">
        <f t="shared" ca="1" si="53"/>
        <v>19</v>
      </c>
      <c r="R281">
        <f t="shared" ca="1" si="54"/>
        <v>19</v>
      </c>
      <c r="S281" t="str">
        <f t="shared" ca="1" si="55"/>
        <v>Late</v>
      </c>
      <c r="T281" t="str">
        <f t="shared" ca="1" si="56"/>
        <v>0-30</v>
      </c>
      <c r="U281">
        <f t="shared" ca="1" si="57"/>
        <v>4</v>
      </c>
      <c r="V281" t="str">
        <f t="shared" ca="1" si="58"/>
        <v>Inefficient</v>
      </c>
      <c r="W281">
        <f t="shared" si="59"/>
        <v>12759.12</v>
      </c>
    </row>
    <row r="282" spans="1:23" x14ac:dyDescent="0.35">
      <c r="A282" t="s">
        <v>307</v>
      </c>
      <c r="B282" t="s">
        <v>12</v>
      </c>
      <c r="C282" s="1">
        <v>44847</v>
      </c>
      <c r="D282" s="1">
        <v>44858</v>
      </c>
      <c r="E282" t="s">
        <v>24</v>
      </c>
      <c r="F282" t="s">
        <v>18</v>
      </c>
      <c r="G282">
        <v>51</v>
      </c>
      <c r="H282">
        <v>28.04</v>
      </c>
      <c r="I282">
        <v>24.13</v>
      </c>
      <c r="J282">
        <v>0</v>
      </c>
      <c r="K282">
        <f t="shared" si="48"/>
        <v>51</v>
      </c>
      <c r="L282" t="s">
        <v>15</v>
      </c>
      <c r="M282" s="1">
        <f t="shared" si="49"/>
        <v>44858</v>
      </c>
      <c r="N282" t="str">
        <f t="shared" ca="1" si="50"/>
        <v>Net 15</v>
      </c>
      <c r="O282">
        <f t="shared" ca="1" si="51"/>
        <v>15</v>
      </c>
      <c r="P282" s="1">
        <f t="shared" ca="1" si="52"/>
        <v>44873</v>
      </c>
      <c r="Q282" s="1">
        <f t="shared" ca="1" si="53"/>
        <v>44874</v>
      </c>
      <c r="R282">
        <f t="shared" ca="1" si="54"/>
        <v>16</v>
      </c>
      <c r="S282" t="str">
        <f t="shared" ca="1" si="55"/>
        <v>Late</v>
      </c>
      <c r="T282" t="str">
        <f t="shared" ca="1" si="56"/>
        <v>0-30</v>
      </c>
      <c r="U282">
        <f t="shared" ca="1" si="57"/>
        <v>1</v>
      </c>
      <c r="V282" t="str">
        <f t="shared" ca="1" si="58"/>
        <v>Inefficient</v>
      </c>
      <c r="W282">
        <f t="shared" si="59"/>
        <v>1230.6299999999999</v>
      </c>
    </row>
    <row r="283" spans="1:23" x14ac:dyDescent="0.35">
      <c r="A283" t="s">
        <v>308</v>
      </c>
      <c r="B283" t="s">
        <v>17</v>
      </c>
      <c r="C283" s="1">
        <v>45035</v>
      </c>
      <c r="D283" s="1">
        <v>45040</v>
      </c>
      <c r="E283" t="s">
        <v>13</v>
      </c>
      <c r="F283" t="s">
        <v>18</v>
      </c>
      <c r="G283">
        <v>691</v>
      </c>
      <c r="H283">
        <v>42.07</v>
      </c>
      <c r="I283">
        <v>39.1</v>
      </c>
      <c r="J283">
        <v>106</v>
      </c>
      <c r="K283">
        <f t="shared" si="48"/>
        <v>585</v>
      </c>
      <c r="L283" t="s">
        <v>15</v>
      </c>
      <c r="M283" s="1">
        <f t="shared" si="49"/>
        <v>45040</v>
      </c>
      <c r="N283" t="str">
        <f t="shared" ca="1" si="50"/>
        <v>Net 15</v>
      </c>
      <c r="O283">
        <f t="shared" ca="1" si="51"/>
        <v>15</v>
      </c>
      <c r="P283" s="1">
        <f t="shared" ca="1" si="52"/>
        <v>45055</v>
      </c>
      <c r="Q283" s="1">
        <f t="shared" ca="1" si="53"/>
        <v>45075</v>
      </c>
      <c r="R283">
        <f t="shared" ca="1" si="54"/>
        <v>35</v>
      </c>
      <c r="S283" t="str">
        <f t="shared" ca="1" si="55"/>
        <v>Late</v>
      </c>
      <c r="T283" t="str">
        <f t="shared" ca="1" si="56"/>
        <v>31-60</v>
      </c>
      <c r="U283">
        <f t="shared" ca="1" si="57"/>
        <v>20</v>
      </c>
      <c r="V283" t="str">
        <f t="shared" ca="1" si="58"/>
        <v>Inefficient</v>
      </c>
      <c r="W283">
        <f t="shared" si="59"/>
        <v>27018.100000000002</v>
      </c>
    </row>
    <row r="284" spans="1:23" x14ac:dyDescent="0.35">
      <c r="A284" t="s">
        <v>309</v>
      </c>
      <c r="B284" t="s">
        <v>23</v>
      </c>
      <c r="C284" s="1">
        <v>44817</v>
      </c>
      <c r="D284" s="1">
        <v>44824</v>
      </c>
      <c r="E284" t="s">
        <v>13</v>
      </c>
      <c r="F284" t="s">
        <v>18</v>
      </c>
      <c r="G284">
        <v>269</v>
      </c>
      <c r="H284">
        <v>50.22</v>
      </c>
      <c r="I284">
        <v>45.75</v>
      </c>
      <c r="J284">
        <v>32</v>
      </c>
      <c r="K284">
        <f t="shared" si="48"/>
        <v>237</v>
      </c>
      <c r="L284" t="s">
        <v>27</v>
      </c>
      <c r="M284" s="1">
        <f t="shared" si="49"/>
        <v>44824</v>
      </c>
      <c r="N284" t="str">
        <f t="shared" ca="1" si="50"/>
        <v>Net 15</v>
      </c>
      <c r="O284">
        <f t="shared" ca="1" si="51"/>
        <v>15</v>
      </c>
      <c r="P284" s="1">
        <f t="shared" ca="1" si="52"/>
        <v>44839</v>
      </c>
      <c r="Q284" s="1">
        <f t="shared" ca="1" si="53"/>
        <v>44842</v>
      </c>
      <c r="R284">
        <f t="shared" ca="1" si="54"/>
        <v>18</v>
      </c>
      <c r="S284" t="str">
        <f t="shared" ca="1" si="55"/>
        <v>Late</v>
      </c>
      <c r="T284" t="str">
        <f t="shared" ca="1" si="56"/>
        <v>0-30</v>
      </c>
      <c r="U284">
        <f t="shared" ca="1" si="57"/>
        <v>3</v>
      </c>
      <c r="V284" t="str">
        <f t="shared" ca="1" si="58"/>
        <v>Inefficient</v>
      </c>
      <c r="W284">
        <f t="shared" si="59"/>
        <v>12306.75</v>
      </c>
    </row>
    <row r="285" spans="1:23" x14ac:dyDescent="0.35">
      <c r="A285" t="s">
        <v>310</v>
      </c>
      <c r="B285" t="s">
        <v>23</v>
      </c>
      <c r="C285" s="1">
        <v>44639</v>
      </c>
      <c r="D285" s="1">
        <v>44657</v>
      </c>
      <c r="E285" t="s">
        <v>39</v>
      </c>
      <c r="F285" t="s">
        <v>35</v>
      </c>
      <c r="G285">
        <v>1639</v>
      </c>
      <c r="H285">
        <v>56.24</v>
      </c>
      <c r="I285">
        <v>55.4</v>
      </c>
      <c r="J285">
        <v>147</v>
      </c>
      <c r="K285">
        <f t="shared" si="48"/>
        <v>1492</v>
      </c>
      <c r="L285" t="s">
        <v>15</v>
      </c>
      <c r="M285" s="1">
        <f t="shared" si="49"/>
        <v>44657</v>
      </c>
      <c r="N285" t="str">
        <f t="shared" ca="1" si="50"/>
        <v>Net 45</v>
      </c>
      <c r="O285">
        <f t="shared" ca="1" si="51"/>
        <v>45</v>
      </c>
      <c r="P285" s="1">
        <f t="shared" ca="1" si="52"/>
        <v>44702</v>
      </c>
      <c r="Q285" s="1">
        <f t="shared" ca="1" si="53"/>
        <v>44697</v>
      </c>
      <c r="R285">
        <f t="shared" ca="1" si="54"/>
        <v>40</v>
      </c>
      <c r="S285" t="str">
        <f t="shared" ca="1" si="55"/>
        <v>On Time</v>
      </c>
      <c r="T285" t="str">
        <f t="shared" ca="1" si="56"/>
        <v>31-60</v>
      </c>
      <c r="U285">
        <f t="shared" ca="1" si="57"/>
        <v>0</v>
      </c>
      <c r="V285" t="str">
        <f t="shared" ca="1" si="58"/>
        <v>Efficient</v>
      </c>
      <c r="W285">
        <f t="shared" si="59"/>
        <v>90800.599999999991</v>
      </c>
    </row>
    <row r="286" spans="1:23" x14ac:dyDescent="0.35">
      <c r="A286" t="s">
        <v>311</v>
      </c>
      <c r="B286" t="s">
        <v>12</v>
      </c>
      <c r="C286" s="1">
        <v>45015</v>
      </c>
      <c r="D286" s="1">
        <v>45022</v>
      </c>
      <c r="E286" t="s">
        <v>26</v>
      </c>
      <c r="F286" t="s">
        <v>18</v>
      </c>
      <c r="G286">
        <v>904</v>
      </c>
      <c r="H286">
        <v>34.04</v>
      </c>
      <c r="I286">
        <v>30.06</v>
      </c>
      <c r="J286">
        <v>26</v>
      </c>
      <c r="K286">
        <f t="shared" si="48"/>
        <v>878</v>
      </c>
      <c r="L286" t="s">
        <v>15</v>
      </c>
      <c r="M286" s="1">
        <f t="shared" si="49"/>
        <v>45022</v>
      </c>
      <c r="N286" t="str">
        <f t="shared" ca="1" si="50"/>
        <v>Net 15</v>
      </c>
      <c r="O286">
        <f t="shared" ca="1" si="51"/>
        <v>15</v>
      </c>
      <c r="P286" s="1">
        <f t="shared" ca="1" si="52"/>
        <v>45037</v>
      </c>
      <c r="Q286" s="1">
        <f t="shared" ca="1" si="53"/>
        <v>45033</v>
      </c>
      <c r="R286">
        <f t="shared" ca="1" si="54"/>
        <v>11</v>
      </c>
      <c r="S286" t="str">
        <f t="shared" ca="1" si="55"/>
        <v>On Time</v>
      </c>
      <c r="T286" t="str">
        <f t="shared" ca="1" si="56"/>
        <v>0-30</v>
      </c>
      <c r="U286">
        <f t="shared" ca="1" si="57"/>
        <v>0</v>
      </c>
      <c r="V286" t="str">
        <f t="shared" ca="1" si="58"/>
        <v>Efficient</v>
      </c>
      <c r="W286">
        <f t="shared" si="59"/>
        <v>27174.239999999998</v>
      </c>
    </row>
    <row r="287" spans="1:23" x14ac:dyDescent="0.35">
      <c r="A287" t="s">
        <v>312</v>
      </c>
      <c r="B287" t="s">
        <v>23</v>
      </c>
      <c r="C287" s="1">
        <v>45125</v>
      </c>
      <c r="D287" s="1">
        <v>45133</v>
      </c>
      <c r="E287" t="s">
        <v>13</v>
      </c>
      <c r="F287" t="s">
        <v>18</v>
      </c>
      <c r="G287">
        <v>1809</v>
      </c>
      <c r="H287">
        <v>22.17</v>
      </c>
      <c r="I287">
        <v>19.649999999999999</v>
      </c>
      <c r="K287">
        <f t="shared" si="48"/>
        <v>1809</v>
      </c>
      <c r="L287" t="s">
        <v>15</v>
      </c>
      <c r="M287" s="1">
        <f t="shared" si="49"/>
        <v>45133</v>
      </c>
      <c r="N287" t="str">
        <f t="shared" ca="1" si="50"/>
        <v>Net 45</v>
      </c>
      <c r="O287">
        <f t="shared" ca="1" si="51"/>
        <v>45</v>
      </c>
      <c r="P287" s="1">
        <f t="shared" ca="1" si="52"/>
        <v>45178</v>
      </c>
      <c r="Q287" s="1">
        <f t="shared" ca="1" si="53"/>
        <v>45175</v>
      </c>
      <c r="R287">
        <f t="shared" ca="1" si="54"/>
        <v>42</v>
      </c>
      <c r="S287" t="str">
        <f t="shared" ca="1" si="55"/>
        <v>On Time</v>
      </c>
      <c r="T287" t="str">
        <f t="shared" ca="1" si="56"/>
        <v>31-60</v>
      </c>
      <c r="U287">
        <f t="shared" ca="1" si="57"/>
        <v>0</v>
      </c>
      <c r="V287" t="str">
        <f t="shared" ca="1" si="58"/>
        <v>Efficient</v>
      </c>
      <c r="W287">
        <f t="shared" si="59"/>
        <v>35546.85</v>
      </c>
    </row>
    <row r="288" spans="1:23" x14ac:dyDescent="0.35">
      <c r="A288" t="s">
        <v>313</v>
      </c>
      <c r="B288" t="s">
        <v>12</v>
      </c>
      <c r="C288" s="1">
        <v>44662</v>
      </c>
      <c r="D288" s="1">
        <v>44667</v>
      </c>
      <c r="E288" t="s">
        <v>24</v>
      </c>
      <c r="F288" t="s">
        <v>18</v>
      </c>
      <c r="G288">
        <v>1298</v>
      </c>
      <c r="H288">
        <v>65.930000000000007</v>
      </c>
      <c r="I288">
        <v>58.95</v>
      </c>
      <c r="K288">
        <f t="shared" si="48"/>
        <v>1298</v>
      </c>
      <c r="L288" t="s">
        <v>15</v>
      </c>
      <c r="M288" s="1">
        <f t="shared" si="49"/>
        <v>44667</v>
      </c>
      <c r="N288" t="str">
        <f t="shared" ca="1" si="50"/>
        <v>Net 15</v>
      </c>
      <c r="O288">
        <f t="shared" ca="1" si="51"/>
        <v>15</v>
      </c>
      <c r="P288" s="1">
        <f t="shared" ca="1" si="52"/>
        <v>44682</v>
      </c>
      <c r="Q288" s="1">
        <f t="shared" ca="1" si="53"/>
        <v>44678</v>
      </c>
      <c r="R288">
        <f t="shared" ca="1" si="54"/>
        <v>11</v>
      </c>
      <c r="S288" t="str">
        <f t="shared" ca="1" si="55"/>
        <v>On Time</v>
      </c>
      <c r="T288" t="str">
        <f t="shared" ca="1" si="56"/>
        <v>0-30</v>
      </c>
      <c r="U288">
        <f t="shared" ca="1" si="57"/>
        <v>0</v>
      </c>
      <c r="V288" t="str">
        <f t="shared" ca="1" si="58"/>
        <v>Efficient</v>
      </c>
      <c r="W288">
        <f t="shared" si="59"/>
        <v>76517.100000000006</v>
      </c>
    </row>
    <row r="289" spans="1:23" x14ac:dyDescent="0.35">
      <c r="A289" t="s">
        <v>314</v>
      </c>
      <c r="B289" t="s">
        <v>23</v>
      </c>
      <c r="C289" s="1">
        <v>44613</v>
      </c>
      <c r="D289" s="1">
        <v>44633</v>
      </c>
      <c r="E289" t="s">
        <v>24</v>
      </c>
      <c r="F289" t="s">
        <v>18</v>
      </c>
      <c r="G289">
        <v>434</v>
      </c>
      <c r="H289">
        <v>36.159999999999997</v>
      </c>
      <c r="I289">
        <v>34.79</v>
      </c>
      <c r="J289">
        <v>41</v>
      </c>
      <c r="K289">
        <f t="shared" si="48"/>
        <v>393</v>
      </c>
      <c r="L289" t="s">
        <v>15</v>
      </c>
      <c r="M289" s="1">
        <f t="shared" si="49"/>
        <v>44633</v>
      </c>
      <c r="N289" t="str">
        <f t="shared" ca="1" si="50"/>
        <v>Net 45</v>
      </c>
      <c r="O289">
        <f t="shared" ca="1" si="51"/>
        <v>45</v>
      </c>
      <c r="P289" s="1">
        <f t="shared" ca="1" si="52"/>
        <v>44678</v>
      </c>
      <c r="Q289" s="1">
        <f t="shared" ca="1" si="53"/>
        <v>44693</v>
      </c>
      <c r="R289">
        <f t="shared" ca="1" si="54"/>
        <v>60</v>
      </c>
      <c r="S289" t="str">
        <f t="shared" ca="1" si="55"/>
        <v>Late</v>
      </c>
      <c r="T289" t="str">
        <f t="shared" ca="1" si="56"/>
        <v>31-60</v>
      </c>
      <c r="U289">
        <f t="shared" ca="1" si="57"/>
        <v>15</v>
      </c>
      <c r="V289" t="str">
        <f t="shared" ca="1" si="58"/>
        <v>Inefficient</v>
      </c>
      <c r="W289">
        <f t="shared" si="59"/>
        <v>15098.859999999999</v>
      </c>
    </row>
    <row r="290" spans="1:23" x14ac:dyDescent="0.35">
      <c r="A290" t="s">
        <v>315</v>
      </c>
      <c r="B290" t="s">
        <v>29</v>
      </c>
      <c r="C290" s="1">
        <v>45229</v>
      </c>
      <c r="D290" s="1">
        <v>45234</v>
      </c>
      <c r="E290" t="s">
        <v>39</v>
      </c>
      <c r="F290" t="s">
        <v>18</v>
      </c>
      <c r="G290">
        <v>1476</v>
      </c>
      <c r="H290">
        <v>68.849999999999994</v>
      </c>
      <c r="I290">
        <v>65.28</v>
      </c>
      <c r="J290">
        <v>43</v>
      </c>
      <c r="K290">
        <f t="shared" si="48"/>
        <v>1433</v>
      </c>
      <c r="L290" t="s">
        <v>15</v>
      </c>
      <c r="M290" s="1">
        <f t="shared" si="49"/>
        <v>45234</v>
      </c>
      <c r="N290" t="str">
        <f t="shared" ca="1" si="50"/>
        <v>Net 15</v>
      </c>
      <c r="O290">
        <f t="shared" ca="1" si="51"/>
        <v>15</v>
      </c>
      <c r="P290" s="1">
        <f t="shared" ca="1" si="52"/>
        <v>45249</v>
      </c>
      <c r="Q290" s="1">
        <f t="shared" ca="1" si="53"/>
        <v>45261</v>
      </c>
      <c r="R290">
        <f t="shared" ca="1" si="54"/>
        <v>27</v>
      </c>
      <c r="S290" t="str">
        <f t="shared" ca="1" si="55"/>
        <v>Late</v>
      </c>
      <c r="T290" t="str">
        <f t="shared" ca="1" si="56"/>
        <v>0-30</v>
      </c>
      <c r="U290">
        <f t="shared" ca="1" si="57"/>
        <v>12</v>
      </c>
      <c r="V290" t="str">
        <f t="shared" ca="1" si="58"/>
        <v>Inefficient</v>
      </c>
      <c r="W290">
        <f t="shared" si="59"/>
        <v>96353.279999999999</v>
      </c>
    </row>
    <row r="291" spans="1:23" x14ac:dyDescent="0.35">
      <c r="A291" t="s">
        <v>316</v>
      </c>
      <c r="B291" t="s">
        <v>17</v>
      </c>
      <c r="C291" s="1">
        <v>45115</v>
      </c>
      <c r="E291" t="s">
        <v>26</v>
      </c>
      <c r="F291" t="s">
        <v>33</v>
      </c>
      <c r="G291">
        <v>1711</v>
      </c>
      <c r="H291">
        <v>26.04</v>
      </c>
      <c r="I291">
        <v>24.81</v>
      </c>
      <c r="J291">
        <v>290</v>
      </c>
      <c r="K291">
        <f t="shared" si="48"/>
        <v>1421</v>
      </c>
      <c r="L291" t="s">
        <v>15</v>
      </c>
      <c r="M291" s="1">
        <f t="shared" si="49"/>
        <v>0</v>
      </c>
      <c r="N291" t="str">
        <f t="shared" ca="1" si="50"/>
        <v>Net 15</v>
      </c>
      <c r="O291">
        <f t="shared" ca="1" si="51"/>
        <v>15</v>
      </c>
      <c r="P291" s="1">
        <f t="shared" ca="1" si="52"/>
        <v>15</v>
      </c>
      <c r="Q291" s="1">
        <f t="shared" ca="1" si="53"/>
        <v>14</v>
      </c>
      <c r="R291">
        <f t="shared" ca="1" si="54"/>
        <v>14</v>
      </c>
      <c r="S291" t="str">
        <f t="shared" ca="1" si="55"/>
        <v>On Time</v>
      </c>
      <c r="T291" t="str">
        <f t="shared" ca="1" si="56"/>
        <v>0-30</v>
      </c>
      <c r="U291">
        <f t="shared" ca="1" si="57"/>
        <v>0</v>
      </c>
      <c r="V291" t="str">
        <f t="shared" ca="1" si="58"/>
        <v>Efficient</v>
      </c>
      <c r="W291">
        <f t="shared" si="59"/>
        <v>42449.909999999996</v>
      </c>
    </row>
    <row r="292" spans="1:23" x14ac:dyDescent="0.35">
      <c r="A292" t="s">
        <v>317</v>
      </c>
      <c r="B292" t="s">
        <v>20</v>
      </c>
      <c r="C292" s="1">
        <v>44577</v>
      </c>
      <c r="D292" s="1">
        <v>44583</v>
      </c>
      <c r="E292" t="s">
        <v>24</v>
      </c>
      <c r="F292" t="s">
        <v>18</v>
      </c>
      <c r="G292">
        <v>1203</v>
      </c>
      <c r="H292">
        <v>53.3</v>
      </c>
      <c r="I292">
        <v>47.68</v>
      </c>
      <c r="J292">
        <v>49</v>
      </c>
      <c r="K292">
        <f t="shared" si="48"/>
        <v>1154</v>
      </c>
      <c r="L292" t="s">
        <v>15</v>
      </c>
      <c r="M292" s="1">
        <f t="shared" si="49"/>
        <v>44583</v>
      </c>
      <c r="N292" t="str">
        <f t="shared" ca="1" si="50"/>
        <v>Net 45</v>
      </c>
      <c r="O292">
        <f t="shared" ca="1" si="51"/>
        <v>45</v>
      </c>
      <c r="P292" s="1">
        <f t="shared" ca="1" si="52"/>
        <v>44628</v>
      </c>
      <c r="Q292" s="1">
        <f t="shared" ca="1" si="53"/>
        <v>44642</v>
      </c>
      <c r="R292">
        <f t="shared" ca="1" si="54"/>
        <v>59</v>
      </c>
      <c r="S292" t="str">
        <f t="shared" ca="1" si="55"/>
        <v>Late</v>
      </c>
      <c r="T292" t="str">
        <f t="shared" ca="1" si="56"/>
        <v>31-60</v>
      </c>
      <c r="U292">
        <f t="shared" ca="1" si="57"/>
        <v>14</v>
      </c>
      <c r="V292" t="str">
        <f t="shared" ca="1" si="58"/>
        <v>Inefficient</v>
      </c>
      <c r="W292">
        <f t="shared" si="59"/>
        <v>57359.040000000001</v>
      </c>
    </row>
    <row r="293" spans="1:23" x14ac:dyDescent="0.35">
      <c r="A293" t="s">
        <v>318</v>
      </c>
      <c r="B293" t="s">
        <v>12</v>
      </c>
      <c r="C293" s="1">
        <v>44657</v>
      </c>
      <c r="D293" s="1">
        <v>44658</v>
      </c>
      <c r="E293" t="s">
        <v>39</v>
      </c>
      <c r="F293" t="s">
        <v>18</v>
      </c>
      <c r="G293">
        <v>1126</v>
      </c>
      <c r="H293">
        <v>58.8</v>
      </c>
      <c r="I293">
        <v>52.22</v>
      </c>
      <c r="K293">
        <f t="shared" si="48"/>
        <v>1126</v>
      </c>
      <c r="L293" t="s">
        <v>15</v>
      </c>
      <c r="M293" s="1">
        <f t="shared" si="49"/>
        <v>44658</v>
      </c>
      <c r="N293" t="str">
        <f t="shared" ca="1" si="50"/>
        <v>Net 45</v>
      </c>
      <c r="O293">
        <f t="shared" ca="1" si="51"/>
        <v>45</v>
      </c>
      <c r="P293" s="1">
        <f t="shared" ca="1" si="52"/>
        <v>44703</v>
      </c>
      <c r="Q293" s="1">
        <f t="shared" ca="1" si="53"/>
        <v>44714</v>
      </c>
      <c r="R293">
        <f t="shared" ca="1" si="54"/>
        <v>56</v>
      </c>
      <c r="S293" t="str">
        <f t="shared" ca="1" si="55"/>
        <v>Late</v>
      </c>
      <c r="T293" t="str">
        <f t="shared" ca="1" si="56"/>
        <v>31-60</v>
      </c>
      <c r="U293">
        <f t="shared" ca="1" si="57"/>
        <v>11</v>
      </c>
      <c r="V293" t="str">
        <f t="shared" ca="1" si="58"/>
        <v>Inefficient</v>
      </c>
      <c r="W293">
        <f t="shared" si="59"/>
        <v>58799.72</v>
      </c>
    </row>
    <row r="294" spans="1:23" x14ac:dyDescent="0.35">
      <c r="A294" t="s">
        <v>319</v>
      </c>
      <c r="B294" t="s">
        <v>29</v>
      </c>
      <c r="C294" s="1">
        <v>44804</v>
      </c>
      <c r="D294" s="1">
        <v>44816</v>
      </c>
      <c r="E294" t="s">
        <v>24</v>
      </c>
      <c r="F294" t="s">
        <v>18</v>
      </c>
      <c r="G294">
        <v>1757</v>
      </c>
      <c r="H294">
        <v>15.18</v>
      </c>
      <c r="I294">
        <v>13.06</v>
      </c>
      <c r="J294">
        <v>63</v>
      </c>
      <c r="K294">
        <f t="shared" si="48"/>
        <v>1694</v>
      </c>
      <c r="L294" t="s">
        <v>15</v>
      </c>
      <c r="M294" s="1">
        <f t="shared" si="49"/>
        <v>44816</v>
      </c>
      <c r="N294" t="str">
        <f t="shared" ca="1" si="50"/>
        <v>Net 15</v>
      </c>
      <c r="O294">
        <f t="shared" ca="1" si="51"/>
        <v>15</v>
      </c>
      <c r="P294" s="1">
        <f t="shared" ca="1" si="52"/>
        <v>44831</v>
      </c>
      <c r="Q294" s="1">
        <f t="shared" ca="1" si="53"/>
        <v>44834</v>
      </c>
      <c r="R294">
        <f t="shared" ca="1" si="54"/>
        <v>18</v>
      </c>
      <c r="S294" t="str">
        <f t="shared" ca="1" si="55"/>
        <v>Late</v>
      </c>
      <c r="T294" t="str">
        <f t="shared" ca="1" si="56"/>
        <v>0-30</v>
      </c>
      <c r="U294">
        <f t="shared" ca="1" si="57"/>
        <v>3</v>
      </c>
      <c r="V294" t="str">
        <f t="shared" ca="1" si="58"/>
        <v>Inefficient</v>
      </c>
      <c r="W294">
        <f t="shared" si="59"/>
        <v>22946.420000000002</v>
      </c>
    </row>
    <row r="295" spans="1:23" x14ac:dyDescent="0.35">
      <c r="A295" t="s">
        <v>320</v>
      </c>
      <c r="B295" t="s">
        <v>29</v>
      </c>
      <c r="C295" s="1">
        <v>44732</v>
      </c>
      <c r="D295" s="1">
        <v>44740</v>
      </c>
      <c r="E295" t="s">
        <v>21</v>
      </c>
      <c r="F295" t="s">
        <v>18</v>
      </c>
      <c r="G295">
        <v>779</v>
      </c>
      <c r="H295">
        <v>41.3</v>
      </c>
      <c r="I295">
        <v>36.28</v>
      </c>
      <c r="J295">
        <v>20</v>
      </c>
      <c r="K295">
        <f t="shared" si="48"/>
        <v>759</v>
      </c>
      <c r="L295" t="s">
        <v>15</v>
      </c>
      <c r="M295" s="1">
        <f t="shared" si="49"/>
        <v>44740</v>
      </c>
      <c r="N295" t="str">
        <f t="shared" ca="1" si="50"/>
        <v>Net 45</v>
      </c>
      <c r="O295">
        <f t="shared" ca="1" si="51"/>
        <v>45</v>
      </c>
      <c r="P295" s="1">
        <f t="shared" ca="1" si="52"/>
        <v>44785</v>
      </c>
      <c r="Q295" s="1">
        <f t="shared" ca="1" si="53"/>
        <v>44796</v>
      </c>
      <c r="R295">
        <f t="shared" ca="1" si="54"/>
        <v>56</v>
      </c>
      <c r="S295" t="str">
        <f t="shared" ca="1" si="55"/>
        <v>Late</v>
      </c>
      <c r="T295" t="str">
        <f t="shared" ca="1" si="56"/>
        <v>31-60</v>
      </c>
      <c r="U295">
        <f t="shared" ca="1" si="57"/>
        <v>11</v>
      </c>
      <c r="V295" t="str">
        <f t="shared" ca="1" si="58"/>
        <v>Inefficient</v>
      </c>
      <c r="W295">
        <f t="shared" si="59"/>
        <v>28262.120000000003</v>
      </c>
    </row>
    <row r="296" spans="1:23" x14ac:dyDescent="0.35">
      <c r="A296" t="s">
        <v>321</v>
      </c>
      <c r="B296" t="s">
        <v>17</v>
      </c>
      <c r="C296" s="1">
        <v>44978</v>
      </c>
      <c r="D296" s="1">
        <v>44979</v>
      </c>
      <c r="E296" t="s">
        <v>13</v>
      </c>
      <c r="F296" t="s">
        <v>18</v>
      </c>
      <c r="G296">
        <v>1745</v>
      </c>
      <c r="H296">
        <v>23.53</v>
      </c>
      <c r="I296">
        <v>22.57</v>
      </c>
      <c r="J296">
        <v>282</v>
      </c>
      <c r="K296">
        <f t="shared" si="48"/>
        <v>1463</v>
      </c>
      <c r="L296" t="s">
        <v>27</v>
      </c>
      <c r="M296" s="1">
        <f t="shared" si="49"/>
        <v>44979</v>
      </c>
      <c r="N296" t="str">
        <f t="shared" ca="1" si="50"/>
        <v>Net 45</v>
      </c>
      <c r="O296">
        <f t="shared" ca="1" si="51"/>
        <v>45</v>
      </c>
      <c r="P296" s="1">
        <f t="shared" ca="1" si="52"/>
        <v>45024</v>
      </c>
      <c r="Q296" s="1">
        <f t="shared" ca="1" si="53"/>
        <v>45023</v>
      </c>
      <c r="R296">
        <f t="shared" ca="1" si="54"/>
        <v>44</v>
      </c>
      <c r="S296" t="str">
        <f t="shared" ca="1" si="55"/>
        <v>On Time</v>
      </c>
      <c r="T296" t="str">
        <f t="shared" ca="1" si="56"/>
        <v>31-60</v>
      </c>
      <c r="U296">
        <f t="shared" ca="1" si="57"/>
        <v>0</v>
      </c>
      <c r="V296" t="str">
        <f t="shared" ca="1" si="58"/>
        <v>Efficient</v>
      </c>
      <c r="W296">
        <f t="shared" si="59"/>
        <v>39384.65</v>
      </c>
    </row>
    <row r="297" spans="1:23" x14ac:dyDescent="0.35">
      <c r="A297" t="s">
        <v>322</v>
      </c>
      <c r="B297" t="s">
        <v>17</v>
      </c>
      <c r="C297" s="1">
        <v>45059</v>
      </c>
      <c r="D297" s="1">
        <v>45061</v>
      </c>
      <c r="E297" t="s">
        <v>26</v>
      </c>
      <c r="F297" t="s">
        <v>18</v>
      </c>
      <c r="G297">
        <v>1783</v>
      </c>
      <c r="H297">
        <v>16.96</v>
      </c>
      <c r="I297">
        <v>15.8</v>
      </c>
      <c r="J297">
        <v>295</v>
      </c>
      <c r="K297">
        <f t="shared" si="48"/>
        <v>1488</v>
      </c>
      <c r="L297" t="s">
        <v>15</v>
      </c>
      <c r="M297" s="1">
        <f t="shared" si="49"/>
        <v>45061</v>
      </c>
      <c r="N297" t="str">
        <f t="shared" ca="1" si="50"/>
        <v>Net 15</v>
      </c>
      <c r="O297">
        <f t="shared" ca="1" si="51"/>
        <v>15</v>
      </c>
      <c r="P297" s="1">
        <f t="shared" ca="1" si="52"/>
        <v>45076</v>
      </c>
      <c r="Q297" s="1">
        <f t="shared" ca="1" si="53"/>
        <v>45088</v>
      </c>
      <c r="R297">
        <f t="shared" ca="1" si="54"/>
        <v>27</v>
      </c>
      <c r="S297" t="str">
        <f t="shared" ca="1" si="55"/>
        <v>Late</v>
      </c>
      <c r="T297" t="str">
        <f t="shared" ca="1" si="56"/>
        <v>0-30</v>
      </c>
      <c r="U297">
        <f t="shared" ca="1" si="57"/>
        <v>12</v>
      </c>
      <c r="V297" t="str">
        <f t="shared" ca="1" si="58"/>
        <v>Inefficient</v>
      </c>
      <c r="W297">
        <f t="shared" si="59"/>
        <v>28171.4</v>
      </c>
    </row>
    <row r="298" spans="1:23" x14ac:dyDescent="0.35">
      <c r="A298" t="s">
        <v>323</v>
      </c>
      <c r="B298" t="s">
        <v>12</v>
      </c>
      <c r="C298" s="1">
        <v>45054</v>
      </c>
      <c r="D298" s="1">
        <v>45068</v>
      </c>
      <c r="E298" t="s">
        <v>13</v>
      </c>
      <c r="F298" t="s">
        <v>33</v>
      </c>
      <c r="G298">
        <v>1489</v>
      </c>
      <c r="H298">
        <v>107.02</v>
      </c>
      <c r="I298">
        <v>93.3</v>
      </c>
      <c r="K298">
        <f t="shared" si="48"/>
        <v>1489</v>
      </c>
      <c r="L298" t="s">
        <v>15</v>
      </c>
      <c r="M298" s="1">
        <f t="shared" si="49"/>
        <v>45068</v>
      </c>
      <c r="N298" t="str">
        <f t="shared" ca="1" si="50"/>
        <v>Net 45</v>
      </c>
      <c r="O298">
        <f t="shared" ca="1" si="51"/>
        <v>45</v>
      </c>
      <c r="P298" s="1">
        <f t="shared" ca="1" si="52"/>
        <v>45113</v>
      </c>
      <c r="Q298" s="1">
        <f t="shared" ca="1" si="53"/>
        <v>45108</v>
      </c>
      <c r="R298">
        <f t="shared" ca="1" si="54"/>
        <v>40</v>
      </c>
      <c r="S298" t="str">
        <f t="shared" ca="1" si="55"/>
        <v>On Time</v>
      </c>
      <c r="T298" t="str">
        <f t="shared" ca="1" si="56"/>
        <v>31-60</v>
      </c>
      <c r="U298">
        <f t="shared" ca="1" si="57"/>
        <v>0</v>
      </c>
      <c r="V298" t="str">
        <f t="shared" ca="1" si="58"/>
        <v>Efficient</v>
      </c>
      <c r="W298">
        <f t="shared" si="59"/>
        <v>138923.69999999998</v>
      </c>
    </row>
    <row r="299" spans="1:23" x14ac:dyDescent="0.35">
      <c r="A299" t="s">
        <v>324</v>
      </c>
      <c r="B299" t="s">
        <v>12</v>
      </c>
      <c r="C299" s="1">
        <v>44780</v>
      </c>
      <c r="D299" s="1">
        <v>44783</v>
      </c>
      <c r="E299" t="s">
        <v>13</v>
      </c>
      <c r="F299" t="s">
        <v>18</v>
      </c>
      <c r="G299">
        <v>296</v>
      </c>
      <c r="H299">
        <v>40.380000000000003</v>
      </c>
      <c r="I299">
        <v>35.25</v>
      </c>
      <c r="K299">
        <f t="shared" si="48"/>
        <v>296</v>
      </c>
      <c r="L299" t="s">
        <v>15</v>
      </c>
      <c r="M299" s="1">
        <f t="shared" si="49"/>
        <v>44783</v>
      </c>
      <c r="N299" t="str">
        <f t="shared" ca="1" si="50"/>
        <v>Net 30</v>
      </c>
      <c r="O299">
        <f t="shared" ca="1" si="51"/>
        <v>30</v>
      </c>
      <c r="P299" s="1">
        <f t="shared" ca="1" si="52"/>
        <v>44813</v>
      </c>
      <c r="Q299" s="1">
        <f t="shared" ca="1" si="53"/>
        <v>44818</v>
      </c>
      <c r="R299">
        <f t="shared" ca="1" si="54"/>
        <v>35</v>
      </c>
      <c r="S299" t="str">
        <f t="shared" ca="1" si="55"/>
        <v>Late</v>
      </c>
      <c r="T299" t="str">
        <f t="shared" ca="1" si="56"/>
        <v>31-60</v>
      </c>
      <c r="U299">
        <f t="shared" ca="1" si="57"/>
        <v>5</v>
      </c>
      <c r="V299" t="str">
        <f t="shared" ca="1" si="58"/>
        <v>Inefficient</v>
      </c>
      <c r="W299">
        <f t="shared" si="59"/>
        <v>10434</v>
      </c>
    </row>
    <row r="300" spans="1:23" x14ac:dyDescent="0.35">
      <c r="A300" t="s">
        <v>325</v>
      </c>
      <c r="B300" t="s">
        <v>29</v>
      </c>
      <c r="C300" s="1">
        <v>44972</v>
      </c>
      <c r="D300" s="1">
        <v>44984</v>
      </c>
      <c r="E300" t="s">
        <v>21</v>
      </c>
      <c r="F300" t="s">
        <v>18</v>
      </c>
      <c r="G300">
        <v>885</v>
      </c>
      <c r="H300">
        <v>88.28</v>
      </c>
      <c r="I300">
        <v>80.8</v>
      </c>
      <c r="J300">
        <v>31</v>
      </c>
      <c r="K300">
        <f t="shared" si="48"/>
        <v>854</v>
      </c>
      <c r="L300" t="s">
        <v>15</v>
      </c>
      <c r="M300" s="1">
        <f t="shared" si="49"/>
        <v>44984</v>
      </c>
      <c r="N300" t="str">
        <f t="shared" ca="1" si="50"/>
        <v>Net 30</v>
      </c>
      <c r="O300">
        <f t="shared" ca="1" si="51"/>
        <v>30</v>
      </c>
      <c r="P300" s="1">
        <f t="shared" ca="1" si="52"/>
        <v>45014</v>
      </c>
      <c r="Q300" s="1">
        <f t="shared" ca="1" si="53"/>
        <v>45029</v>
      </c>
      <c r="R300">
        <f t="shared" ca="1" si="54"/>
        <v>45</v>
      </c>
      <c r="S300" t="str">
        <f t="shared" ca="1" si="55"/>
        <v>Late</v>
      </c>
      <c r="T300" t="str">
        <f t="shared" ca="1" si="56"/>
        <v>31-60</v>
      </c>
      <c r="U300">
        <f t="shared" ca="1" si="57"/>
        <v>15</v>
      </c>
      <c r="V300" t="str">
        <f t="shared" ca="1" si="58"/>
        <v>Inefficient</v>
      </c>
      <c r="W300">
        <f t="shared" si="59"/>
        <v>71508</v>
      </c>
    </row>
    <row r="301" spans="1:23" x14ac:dyDescent="0.35">
      <c r="A301" t="s">
        <v>326</v>
      </c>
      <c r="B301" t="s">
        <v>29</v>
      </c>
      <c r="C301" s="1">
        <v>44622</v>
      </c>
      <c r="D301" s="1">
        <v>44626</v>
      </c>
      <c r="E301" t="s">
        <v>26</v>
      </c>
      <c r="F301" t="s">
        <v>35</v>
      </c>
      <c r="G301">
        <v>1512</v>
      </c>
      <c r="H301">
        <v>33.25</v>
      </c>
      <c r="I301">
        <v>30.15</v>
      </c>
      <c r="J301">
        <v>53</v>
      </c>
      <c r="K301">
        <f t="shared" si="48"/>
        <v>1459</v>
      </c>
      <c r="L301" t="s">
        <v>15</v>
      </c>
      <c r="M301" s="1">
        <f t="shared" si="49"/>
        <v>44626</v>
      </c>
      <c r="N301" t="str">
        <f t="shared" ca="1" si="50"/>
        <v>Net 45</v>
      </c>
      <c r="O301">
        <f t="shared" ca="1" si="51"/>
        <v>45</v>
      </c>
      <c r="P301" s="1">
        <f t="shared" ca="1" si="52"/>
        <v>44671</v>
      </c>
      <c r="Q301" s="1">
        <f t="shared" ca="1" si="53"/>
        <v>44691</v>
      </c>
      <c r="R301">
        <f t="shared" ca="1" si="54"/>
        <v>65</v>
      </c>
      <c r="S301" t="str">
        <f t="shared" ca="1" si="55"/>
        <v>Late</v>
      </c>
      <c r="T301" t="str">
        <f t="shared" ca="1" si="56"/>
        <v>61-90</v>
      </c>
      <c r="U301">
        <f t="shared" ca="1" si="57"/>
        <v>20</v>
      </c>
      <c r="V301" t="str">
        <f t="shared" ca="1" si="58"/>
        <v>Inefficient</v>
      </c>
      <c r="W301">
        <f t="shared" si="59"/>
        <v>45586.799999999996</v>
      </c>
    </row>
    <row r="302" spans="1:23" x14ac:dyDescent="0.35">
      <c r="A302" t="s">
        <v>327</v>
      </c>
      <c r="B302" t="s">
        <v>17</v>
      </c>
      <c r="C302" s="1">
        <v>44730</v>
      </c>
      <c r="D302" s="1">
        <v>44738</v>
      </c>
      <c r="E302" t="s">
        <v>13</v>
      </c>
      <c r="F302" t="s">
        <v>18</v>
      </c>
      <c r="G302">
        <v>252</v>
      </c>
      <c r="H302">
        <v>73.12</v>
      </c>
      <c r="I302">
        <v>67.64</v>
      </c>
      <c r="K302">
        <f t="shared" si="48"/>
        <v>252</v>
      </c>
      <c r="L302" t="s">
        <v>27</v>
      </c>
      <c r="M302" s="1">
        <f t="shared" si="49"/>
        <v>44738</v>
      </c>
      <c r="N302" t="str">
        <f t="shared" ca="1" si="50"/>
        <v>Net 45</v>
      </c>
      <c r="O302">
        <f t="shared" ca="1" si="51"/>
        <v>45</v>
      </c>
      <c r="P302" s="1">
        <f t="shared" ca="1" si="52"/>
        <v>44783</v>
      </c>
      <c r="Q302" s="1">
        <f t="shared" ca="1" si="53"/>
        <v>44786</v>
      </c>
      <c r="R302">
        <f t="shared" ca="1" si="54"/>
        <v>48</v>
      </c>
      <c r="S302" t="str">
        <f t="shared" ca="1" si="55"/>
        <v>Late</v>
      </c>
      <c r="T302" t="str">
        <f t="shared" ca="1" si="56"/>
        <v>31-60</v>
      </c>
      <c r="U302">
        <f t="shared" ca="1" si="57"/>
        <v>3</v>
      </c>
      <c r="V302" t="str">
        <f t="shared" ca="1" si="58"/>
        <v>Inefficient</v>
      </c>
      <c r="W302">
        <f t="shared" si="59"/>
        <v>17045.28</v>
      </c>
    </row>
    <row r="303" spans="1:23" x14ac:dyDescent="0.35">
      <c r="A303" t="s">
        <v>328</v>
      </c>
      <c r="B303" t="s">
        <v>12</v>
      </c>
      <c r="C303" s="1">
        <v>44950</v>
      </c>
      <c r="E303" t="s">
        <v>39</v>
      </c>
      <c r="F303" t="s">
        <v>14</v>
      </c>
      <c r="G303">
        <v>1257</v>
      </c>
      <c r="H303">
        <v>83.13</v>
      </c>
      <c r="I303">
        <v>81.89</v>
      </c>
      <c r="J303">
        <v>30</v>
      </c>
      <c r="K303">
        <f t="shared" si="48"/>
        <v>1227</v>
      </c>
      <c r="L303" t="s">
        <v>15</v>
      </c>
      <c r="M303" s="1">
        <f t="shared" si="49"/>
        <v>0</v>
      </c>
      <c r="N303" t="str">
        <f t="shared" ca="1" si="50"/>
        <v>Net 15</v>
      </c>
      <c r="O303">
        <f t="shared" ca="1" si="51"/>
        <v>15</v>
      </c>
      <c r="P303" s="1">
        <f t="shared" ca="1" si="52"/>
        <v>15</v>
      </c>
      <c r="Q303" s="1">
        <f t="shared" ca="1" si="53"/>
        <v>15</v>
      </c>
      <c r="R303">
        <f t="shared" ca="1" si="54"/>
        <v>15</v>
      </c>
      <c r="S303" t="str">
        <f t="shared" ca="1" si="55"/>
        <v>On Time</v>
      </c>
      <c r="T303" t="str">
        <f t="shared" ca="1" si="56"/>
        <v>0-30</v>
      </c>
      <c r="U303">
        <f t="shared" ca="1" si="57"/>
        <v>0</v>
      </c>
      <c r="V303" t="str">
        <f t="shared" ca="1" si="58"/>
        <v>Efficient</v>
      </c>
      <c r="W303">
        <f t="shared" si="59"/>
        <v>102935.73</v>
      </c>
    </row>
    <row r="304" spans="1:23" x14ac:dyDescent="0.35">
      <c r="A304" t="s">
        <v>329</v>
      </c>
      <c r="B304" t="s">
        <v>12</v>
      </c>
      <c r="C304" s="1">
        <v>44564</v>
      </c>
      <c r="D304" s="1">
        <v>44581</v>
      </c>
      <c r="E304" t="s">
        <v>24</v>
      </c>
      <c r="F304" t="s">
        <v>18</v>
      </c>
      <c r="G304">
        <v>172</v>
      </c>
      <c r="H304">
        <v>63.61</v>
      </c>
      <c r="I304">
        <v>55.92</v>
      </c>
      <c r="J304">
        <v>4</v>
      </c>
      <c r="K304">
        <f t="shared" si="48"/>
        <v>168</v>
      </c>
      <c r="L304" t="s">
        <v>15</v>
      </c>
      <c r="M304" s="1">
        <f t="shared" si="49"/>
        <v>44581</v>
      </c>
      <c r="N304" t="str">
        <f t="shared" ca="1" si="50"/>
        <v>Net 15</v>
      </c>
      <c r="O304">
        <f t="shared" ca="1" si="51"/>
        <v>15</v>
      </c>
      <c r="P304" s="1">
        <f t="shared" ca="1" si="52"/>
        <v>44596</v>
      </c>
      <c r="Q304" s="1">
        <f t="shared" ca="1" si="53"/>
        <v>44596</v>
      </c>
      <c r="R304">
        <f t="shared" ca="1" si="54"/>
        <v>15</v>
      </c>
      <c r="S304" t="str">
        <f t="shared" ca="1" si="55"/>
        <v>On Time</v>
      </c>
      <c r="T304" t="str">
        <f t="shared" ca="1" si="56"/>
        <v>0-30</v>
      </c>
      <c r="U304">
        <f t="shared" ca="1" si="57"/>
        <v>0</v>
      </c>
      <c r="V304" t="str">
        <f t="shared" ca="1" si="58"/>
        <v>Efficient</v>
      </c>
      <c r="W304">
        <f t="shared" si="59"/>
        <v>9618.24</v>
      </c>
    </row>
    <row r="305" spans="1:23" x14ac:dyDescent="0.35">
      <c r="A305" t="s">
        <v>330</v>
      </c>
      <c r="B305" t="s">
        <v>29</v>
      </c>
      <c r="C305" s="1">
        <v>44961</v>
      </c>
      <c r="D305" s="1">
        <v>44962</v>
      </c>
      <c r="E305" t="s">
        <v>24</v>
      </c>
      <c r="F305" t="s">
        <v>35</v>
      </c>
      <c r="G305">
        <v>450</v>
      </c>
      <c r="H305">
        <v>55.85</v>
      </c>
      <c r="I305">
        <v>49.88</v>
      </c>
      <c r="J305">
        <v>9</v>
      </c>
      <c r="K305">
        <f t="shared" si="48"/>
        <v>441</v>
      </c>
      <c r="L305" t="s">
        <v>15</v>
      </c>
      <c r="M305" s="1">
        <f t="shared" si="49"/>
        <v>44962</v>
      </c>
      <c r="N305" t="str">
        <f t="shared" ca="1" si="50"/>
        <v>Net 45</v>
      </c>
      <c r="O305">
        <f t="shared" ca="1" si="51"/>
        <v>45</v>
      </c>
      <c r="P305" s="1">
        <f t="shared" ca="1" si="52"/>
        <v>45007</v>
      </c>
      <c r="Q305" s="1">
        <f t="shared" ca="1" si="53"/>
        <v>45026</v>
      </c>
      <c r="R305">
        <f t="shared" ca="1" si="54"/>
        <v>64</v>
      </c>
      <c r="S305" t="str">
        <f t="shared" ca="1" si="55"/>
        <v>Late</v>
      </c>
      <c r="T305" t="str">
        <f t="shared" ca="1" si="56"/>
        <v>61-90</v>
      </c>
      <c r="U305">
        <f t="shared" ca="1" si="57"/>
        <v>19</v>
      </c>
      <c r="V305" t="str">
        <f t="shared" ca="1" si="58"/>
        <v>Inefficient</v>
      </c>
      <c r="W305">
        <f t="shared" si="59"/>
        <v>22446</v>
      </c>
    </row>
    <row r="306" spans="1:23" x14ac:dyDescent="0.35">
      <c r="A306" t="s">
        <v>331</v>
      </c>
      <c r="B306" t="s">
        <v>20</v>
      </c>
      <c r="C306" s="1">
        <v>44833</v>
      </c>
      <c r="D306" s="1">
        <v>44849</v>
      </c>
      <c r="E306" t="s">
        <v>39</v>
      </c>
      <c r="F306" t="s">
        <v>18</v>
      </c>
      <c r="G306">
        <v>816</v>
      </c>
      <c r="H306">
        <v>48.95</v>
      </c>
      <c r="I306">
        <v>43.42</v>
      </c>
      <c r="J306">
        <v>45</v>
      </c>
      <c r="K306">
        <f t="shared" si="48"/>
        <v>771</v>
      </c>
      <c r="L306" t="s">
        <v>15</v>
      </c>
      <c r="M306" s="1">
        <f t="shared" si="49"/>
        <v>44849</v>
      </c>
      <c r="N306" t="str">
        <f t="shared" ca="1" si="50"/>
        <v>Net 30</v>
      </c>
      <c r="O306">
        <f t="shared" ca="1" si="51"/>
        <v>30</v>
      </c>
      <c r="P306" s="1">
        <f t="shared" ca="1" si="52"/>
        <v>44879</v>
      </c>
      <c r="Q306" s="1">
        <f t="shared" ca="1" si="53"/>
        <v>44893</v>
      </c>
      <c r="R306">
        <f t="shared" ca="1" si="54"/>
        <v>44</v>
      </c>
      <c r="S306" t="str">
        <f t="shared" ca="1" si="55"/>
        <v>Late</v>
      </c>
      <c r="T306" t="str">
        <f t="shared" ca="1" si="56"/>
        <v>31-60</v>
      </c>
      <c r="U306">
        <f t="shared" ca="1" si="57"/>
        <v>14</v>
      </c>
      <c r="V306" t="str">
        <f t="shared" ca="1" si="58"/>
        <v>Inefficient</v>
      </c>
      <c r="W306">
        <f t="shared" si="59"/>
        <v>35430.720000000001</v>
      </c>
    </row>
    <row r="307" spans="1:23" x14ac:dyDescent="0.35">
      <c r="A307" t="s">
        <v>332</v>
      </c>
      <c r="B307" t="s">
        <v>29</v>
      </c>
      <c r="C307" s="1">
        <v>45027</v>
      </c>
      <c r="D307" s="1">
        <v>45041</v>
      </c>
      <c r="E307" t="s">
        <v>24</v>
      </c>
      <c r="F307" t="s">
        <v>18</v>
      </c>
      <c r="G307">
        <v>343</v>
      </c>
      <c r="H307">
        <v>44.5</v>
      </c>
      <c r="I307">
        <v>38.57</v>
      </c>
      <c r="J307">
        <v>7</v>
      </c>
      <c r="K307">
        <f t="shared" si="48"/>
        <v>336</v>
      </c>
      <c r="L307" t="s">
        <v>15</v>
      </c>
      <c r="M307" s="1">
        <f t="shared" si="49"/>
        <v>45041</v>
      </c>
      <c r="N307" t="str">
        <f t="shared" ca="1" si="50"/>
        <v>Net 15</v>
      </c>
      <c r="O307">
        <f t="shared" ca="1" si="51"/>
        <v>15</v>
      </c>
      <c r="P307" s="1">
        <f t="shared" ca="1" si="52"/>
        <v>45056</v>
      </c>
      <c r="Q307" s="1">
        <f t="shared" ca="1" si="53"/>
        <v>45061</v>
      </c>
      <c r="R307">
        <f t="shared" ca="1" si="54"/>
        <v>20</v>
      </c>
      <c r="S307" t="str">
        <f t="shared" ca="1" si="55"/>
        <v>Late</v>
      </c>
      <c r="T307" t="str">
        <f t="shared" ca="1" si="56"/>
        <v>0-30</v>
      </c>
      <c r="U307">
        <f t="shared" ca="1" si="57"/>
        <v>5</v>
      </c>
      <c r="V307" t="str">
        <f t="shared" ca="1" si="58"/>
        <v>Inefficient</v>
      </c>
      <c r="W307">
        <f t="shared" si="59"/>
        <v>13229.51</v>
      </c>
    </row>
    <row r="308" spans="1:23" x14ac:dyDescent="0.35">
      <c r="A308" t="s">
        <v>333</v>
      </c>
      <c r="B308" t="s">
        <v>20</v>
      </c>
      <c r="C308" s="1">
        <v>44854</v>
      </c>
      <c r="D308" s="1">
        <v>44870</v>
      </c>
      <c r="E308" t="s">
        <v>21</v>
      </c>
      <c r="F308" t="s">
        <v>18</v>
      </c>
      <c r="G308">
        <v>329</v>
      </c>
      <c r="H308">
        <v>97.87</v>
      </c>
      <c r="I308">
        <v>85.35</v>
      </c>
      <c r="J308">
        <v>21</v>
      </c>
      <c r="K308">
        <f t="shared" si="48"/>
        <v>308</v>
      </c>
      <c r="L308" t="s">
        <v>27</v>
      </c>
      <c r="M308" s="1">
        <f t="shared" si="49"/>
        <v>44870</v>
      </c>
      <c r="N308" t="str">
        <f t="shared" ca="1" si="50"/>
        <v>Net 30</v>
      </c>
      <c r="O308">
        <f t="shared" ca="1" si="51"/>
        <v>30</v>
      </c>
      <c r="P308" s="1">
        <f t="shared" ca="1" si="52"/>
        <v>44900</v>
      </c>
      <c r="Q308" s="1">
        <f t="shared" ca="1" si="53"/>
        <v>44903</v>
      </c>
      <c r="R308">
        <f t="shared" ca="1" si="54"/>
        <v>33</v>
      </c>
      <c r="S308" t="str">
        <f t="shared" ca="1" si="55"/>
        <v>Late</v>
      </c>
      <c r="T308" t="str">
        <f t="shared" ca="1" si="56"/>
        <v>31-60</v>
      </c>
      <c r="U308">
        <f t="shared" ca="1" si="57"/>
        <v>3</v>
      </c>
      <c r="V308" t="str">
        <f t="shared" ca="1" si="58"/>
        <v>Inefficient</v>
      </c>
      <c r="W308">
        <f t="shared" si="59"/>
        <v>28080.149999999998</v>
      </c>
    </row>
    <row r="309" spans="1:23" x14ac:dyDescent="0.35">
      <c r="A309" t="s">
        <v>334</v>
      </c>
      <c r="B309" t="s">
        <v>12</v>
      </c>
      <c r="C309" s="1">
        <v>44995</v>
      </c>
      <c r="D309" s="1">
        <v>45010</v>
      </c>
      <c r="E309" t="s">
        <v>39</v>
      </c>
      <c r="F309" t="s">
        <v>18</v>
      </c>
      <c r="G309">
        <v>1910</v>
      </c>
      <c r="H309">
        <v>90.69</v>
      </c>
      <c r="I309">
        <v>85.8</v>
      </c>
      <c r="K309">
        <f t="shared" si="48"/>
        <v>1910</v>
      </c>
      <c r="L309" t="s">
        <v>15</v>
      </c>
      <c r="M309" s="1">
        <f t="shared" si="49"/>
        <v>45010</v>
      </c>
      <c r="N309" t="str">
        <f t="shared" ca="1" si="50"/>
        <v>Net 15</v>
      </c>
      <c r="O309">
        <f t="shared" ca="1" si="51"/>
        <v>15</v>
      </c>
      <c r="P309" s="1">
        <f t="shared" ca="1" si="52"/>
        <v>45025</v>
      </c>
      <c r="Q309" s="1">
        <f t="shared" ca="1" si="53"/>
        <v>45023</v>
      </c>
      <c r="R309">
        <f t="shared" ca="1" si="54"/>
        <v>13</v>
      </c>
      <c r="S309" t="str">
        <f t="shared" ca="1" si="55"/>
        <v>On Time</v>
      </c>
      <c r="T309" t="str">
        <f t="shared" ca="1" si="56"/>
        <v>0-30</v>
      </c>
      <c r="U309">
        <f t="shared" ca="1" si="57"/>
        <v>0</v>
      </c>
      <c r="V309" t="str">
        <f t="shared" ca="1" si="58"/>
        <v>Efficient</v>
      </c>
      <c r="W309">
        <f t="shared" si="59"/>
        <v>163878</v>
      </c>
    </row>
    <row r="310" spans="1:23" x14ac:dyDescent="0.35">
      <c r="A310" t="s">
        <v>335</v>
      </c>
      <c r="B310" t="s">
        <v>29</v>
      </c>
      <c r="C310" s="1">
        <v>45275</v>
      </c>
      <c r="D310" s="1">
        <v>45278</v>
      </c>
      <c r="E310" t="s">
        <v>21</v>
      </c>
      <c r="F310" t="s">
        <v>18</v>
      </c>
      <c r="G310">
        <v>933</v>
      </c>
      <c r="H310">
        <v>107.99</v>
      </c>
      <c r="I310">
        <v>104.29</v>
      </c>
      <c r="J310">
        <v>29</v>
      </c>
      <c r="K310">
        <f t="shared" si="48"/>
        <v>904</v>
      </c>
      <c r="L310" t="s">
        <v>15</v>
      </c>
      <c r="M310" s="1">
        <f t="shared" si="49"/>
        <v>45278</v>
      </c>
      <c r="N310" t="str">
        <f t="shared" ca="1" si="50"/>
        <v>Net 15</v>
      </c>
      <c r="O310">
        <f t="shared" ca="1" si="51"/>
        <v>15</v>
      </c>
      <c r="P310" s="1">
        <f t="shared" ca="1" si="52"/>
        <v>45293</v>
      </c>
      <c r="Q310" s="1">
        <f t="shared" ca="1" si="53"/>
        <v>45290</v>
      </c>
      <c r="R310">
        <f t="shared" ca="1" si="54"/>
        <v>12</v>
      </c>
      <c r="S310" t="str">
        <f t="shared" ca="1" si="55"/>
        <v>On Time</v>
      </c>
      <c r="T310" t="str">
        <f t="shared" ca="1" si="56"/>
        <v>0-30</v>
      </c>
      <c r="U310">
        <f t="shared" ca="1" si="57"/>
        <v>0</v>
      </c>
      <c r="V310" t="str">
        <f t="shared" ca="1" si="58"/>
        <v>Efficient</v>
      </c>
      <c r="W310">
        <f t="shared" si="59"/>
        <v>97302.57</v>
      </c>
    </row>
    <row r="311" spans="1:23" x14ac:dyDescent="0.35">
      <c r="A311" t="s">
        <v>336</v>
      </c>
      <c r="B311" t="s">
        <v>17</v>
      </c>
      <c r="C311" s="1">
        <v>45131</v>
      </c>
      <c r="D311" s="1">
        <v>45136</v>
      </c>
      <c r="E311" t="s">
        <v>26</v>
      </c>
      <c r="F311" t="s">
        <v>18</v>
      </c>
      <c r="G311">
        <v>1683</v>
      </c>
      <c r="H311">
        <v>23.09</v>
      </c>
      <c r="I311">
        <v>21.88</v>
      </c>
      <c r="J311">
        <v>253</v>
      </c>
      <c r="K311">
        <f t="shared" si="48"/>
        <v>1430</v>
      </c>
      <c r="L311" t="s">
        <v>15</v>
      </c>
      <c r="M311" s="1">
        <f t="shared" si="49"/>
        <v>45136</v>
      </c>
      <c r="N311" t="str">
        <f t="shared" ca="1" si="50"/>
        <v>Net 30</v>
      </c>
      <c r="O311">
        <f t="shared" ca="1" si="51"/>
        <v>30</v>
      </c>
      <c r="P311" s="1">
        <f t="shared" ca="1" si="52"/>
        <v>45166</v>
      </c>
      <c r="Q311" s="1">
        <f t="shared" ca="1" si="53"/>
        <v>45178</v>
      </c>
      <c r="R311">
        <f t="shared" ca="1" si="54"/>
        <v>42</v>
      </c>
      <c r="S311" t="str">
        <f t="shared" ca="1" si="55"/>
        <v>Late</v>
      </c>
      <c r="T311" t="str">
        <f t="shared" ca="1" si="56"/>
        <v>31-60</v>
      </c>
      <c r="U311">
        <f t="shared" ca="1" si="57"/>
        <v>12</v>
      </c>
      <c r="V311" t="str">
        <f t="shared" ca="1" si="58"/>
        <v>Inefficient</v>
      </c>
      <c r="W311">
        <f t="shared" si="59"/>
        <v>36824.04</v>
      </c>
    </row>
    <row r="312" spans="1:23" x14ac:dyDescent="0.35">
      <c r="A312" t="s">
        <v>337</v>
      </c>
      <c r="B312" t="s">
        <v>23</v>
      </c>
      <c r="C312" s="1">
        <v>45239</v>
      </c>
      <c r="D312" s="1">
        <v>45248</v>
      </c>
      <c r="E312" t="s">
        <v>24</v>
      </c>
      <c r="F312" t="s">
        <v>35</v>
      </c>
      <c r="G312">
        <v>247</v>
      </c>
      <c r="H312">
        <v>84.11</v>
      </c>
      <c r="I312">
        <v>71.97</v>
      </c>
      <c r="K312">
        <f t="shared" si="48"/>
        <v>247</v>
      </c>
      <c r="L312" t="s">
        <v>15</v>
      </c>
      <c r="M312" s="1">
        <f t="shared" si="49"/>
        <v>45248</v>
      </c>
      <c r="N312" t="str">
        <f t="shared" ca="1" si="50"/>
        <v>Net 15</v>
      </c>
      <c r="O312">
        <f t="shared" ca="1" si="51"/>
        <v>15</v>
      </c>
      <c r="P312" s="1">
        <f t="shared" ca="1" si="52"/>
        <v>45263</v>
      </c>
      <c r="Q312" s="1">
        <f t="shared" ca="1" si="53"/>
        <v>45270</v>
      </c>
      <c r="R312">
        <f t="shared" ca="1" si="54"/>
        <v>22</v>
      </c>
      <c r="S312" t="str">
        <f t="shared" ca="1" si="55"/>
        <v>Late</v>
      </c>
      <c r="T312" t="str">
        <f t="shared" ca="1" si="56"/>
        <v>0-30</v>
      </c>
      <c r="U312">
        <f t="shared" ca="1" si="57"/>
        <v>7</v>
      </c>
      <c r="V312" t="str">
        <f t="shared" ca="1" si="58"/>
        <v>Inefficient</v>
      </c>
      <c r="W312">
        <f t="shared" si="59"/>
        <v>17776.59</v>
      </c>
    </row>
    <row r="313" spans="1:23" x14ac:dyDescent="0.35">
      <c r="A313" t="s">
        <v>338</v>
      </c>
      <c r="B313" t="s">
        <v>12</v>
      </c>
      <c r="C313" s="1">
        <v>45060</v>
      </c>
      <c r="D313" s="1">
        <v>45079</v>
      </c>
      <c r="E313" t="s">
        <v>21</v>
      </c>
      <c r="F313" t="s">
        <v>18</v>
      </c>
      <c r="G313">
        <v>1031</v>
      </c>
      <c r="H313">
        <v>102.01</v>
      </c>
      <c r="I313">
        <v>98.65</v>
      </c>
      <c r="K313">
        <f t="shared" si="48"/>
        <v>1031</v>
      </c>
      <c r="L313" t="s">
        <v>15</v>
      </c>
      <c r="M313" s="1">
        <f t="shared" si="49"/>
        <v>45079</v>
      </c>
      <c r="N313" t="str">
        <f t="shared" ca="1" si="50"/>
        <v>Net 15</v>
      </c>
      <c r="O313">
        <f t="shared" ca="1" si="51"/>
        <v>15</v>
      </c>
      <c r="P313" s="1">
        <f t="shared" ca="1" si="52"/>
        <v>45094</v>
      </c>
      <c r="Q313" s="1">
        <f t="shared" ca="1" si="53"/>
        <v>45089</v>
      </c>
      <c r="R313">
        <f t="shared" ca="1" si="54"/>
        <v>10</v>
      </c>
      <c r="S313" t="str">
        <f t="shared" ca="1" si="55"/>
        <v>On Time</v>
      </c>
      <c r="T313" t="str">
        <f t="shared" ca="1" si="56"/>
        <v>0-30</v>
      </c>
      <c r="U313">
        <f t="shared" ca="1" si="57"/>
        <v>0</v>
      </c>
      <c r="V313" t="str">
        <f t="shared" ca="1" si="58"/>
        <v>Efficient</v>
      </c>
      <c r="W313">
        <f t="shared" si="59"/>
        <v>101708.15000000001</v>
      </c>
    </row>
    <row r="314" spans="1:23" x14ac:dyDescent="0.35">
      <c r="A314" t="s">
        <v>339</v>
      </c>
      <c r="B314" t="s">
        <v>12</v>
      </c>
      <c r="C314" s="1">
        <v>44720</v>
      </c>
      <c r="D314" s="1">
        <v>44731</v>
      </c>
      <c r="E314" t="s">
        <v>24</v>
      </c>
      <c r="F314" t="s">
        <v>18</v>
      </c>
      <c r="G314">
        <v>1980</v>
      </c>
      <c r="H314">
        <v>26.97</v>
      </c>
      <c r="I314">
        <v>24.16</v>
      </c>
      <c r="J314">
        <v>41</v>
      </c>
      <c r="K314">
        <f t="shared" si="48"/>
        <v>1939</v>
      </c>
      <c r="L314" t="s">
        <v>15</v>
      </c>
      <c r="M314" s="1">
        <f t="shared" si="49"/>
        <v>44731</v>
      </c>
      <c r="N314" t="str">
        <f t="shared" ca="1" si="50"/>
        <v>Net 45</v>
      </c>
      <c r="O314">
        <f t="shared" ca="1" si="51"/>
        <v>45</v>
      </c>
      <c r="P314" s="1">
        <f t="shared" ca="1" si="52"/>
        <v>44776</v>
      </c>
      <c r="Q314" s="1">
        <f t="shared" ca="1" si="53"/>
        <v>44774</v>
      </c>
      <c r="R314">
        <f t="shared" ca="1" si="54"/>
        <v>43</v>
      </c>
      <c r="S314" t="str">
        <f t="shared" ca="1" si="55"/>
        <v>On Time</v>
      </c>
      <c r="T314" t="str">
        <f t="shared" ca="1" si="56"/>
        <v>31-60</v>
      </c>
      <c r="U314">
        <f t="shared" ca="1" si="57"/>
        <v>0</v>
      </c>
      <c r="V314" t="str">
        <f t="shared" ca="1" si="58"/>
        <v>Efficient</v>
      </c>
      <c r="W314">
        <f t="shared" si="59"/>
        <v>47836.800000000003</v>
      </c>
    </row>
    <row r="315" spans="1:23" x14ac:dyDescent="0.35">
      <c r="A315" t="s">
        <v>340</v>
      </c>
      <c r="B315" t="s">
        <v>29</v>
      </c>
      <c r="C315" s="1">
        <v>44756</v>
      </c>
      <c r="D315" s="1">
        <v>44776</v>
      </c>
      <c r="E315" t="s">
        <v>26</v>
      </c>
      <c r="F315" t="s">
        <v>18</v>
      </c>
      <c r="G315">
        <v>1584</v>
      </c>
      <c r="H315">
        <v>16.46</v>
      </c>
      <c r="I315">
        <v>14.2</v>
      </c>
      <c r="J315">
        <v>57</v>
      </c>
      <c r="K315">
        <f t="shared" si="48"/>
        <v>1527</v>
      </c>
      <c r="L315" t="s">
        <v>15</v>
      </c>
      <c r="M315" s="1">
        <f t="shared" si="49"/>
        <v>44776</v>
      </c>
      <c r="N315" t="str">
        <f t="shared" ca="1" si="50"/>
        <v>Net 30</v>
      </c>
      <c r="O315">
        <f t="shared" ca="1" si="51"/>
        <v>30</v>
      </c>
      <c r="P315" s="1">
        <f t="shared" ca="1" si="52"/>
        <v>44806</v>
      </c>
      <c r="Q315" s="1">
        <f t="shared" ca="1" si="53"/>
        <v>44821</v>
      </c>
      <c r="R315">
        <f t="shared" ca="1" si="54"/>
        <v>45</v>
      </c>
      <c r="S315" t="str">
        <f t="shared" ca="1" si="55"/>
        <v>Late</v>
      </c>
      <c r="T315" t="str">
        <f t="shared" ca="1" si="56"/>
        <v>31-60</v>
      </c>
      <c r="U315">
        <f t="shared" ca="1" si="57"/>
        <v>15</v>
      </c>
      <c r="V315" t="str">
        <f t="shared" ca="1" si="58"/>
        <v>Inefficient</v>
      </c>
      <c r="W315">
        <f t="shared" si="59"/>
        <v>22492.799999999999</v>
      </c>
    </row>
    <row r="316" spans="1:23" x14ac:dyDescent="0.35">
      <c r="A316" t="s">
        <v>341</v>
      </c>
      <c r="B316" t="s">
        <v>23</v>
      </c>
      <c r="C316" s="1">
        <v>44865</v>
      </c>
      <c r="D316" s="1">
        <v>44880</v>
      </c>
      <c r="E316" t="s">
        <v>13</v>
      </c>
      <c r="F316" t="s">
        <v>18</v>
      </c>
      <c r="G316">
        <v>801</v>
      </c>
      <c r="H316">
        <v>80.150000000000006</v>
      </c>
      <c r="I316">
        <v>70.91</v>
      </c>
      <c r="K316">
        <f t="shared" si="48"/>
        <v>801</v>
      </c>
      <c r="L316" t="s">
        <v>15</v>
      </c>
      <c r="M316" s="1">
        <f t="shared" si="49"/>
        <v>44880</v>
      </c>
      <c r="N316" t="str">
        <f t="shared" ca="1" si="50"/>
        <v>Net 15</v>
      </c>
      <c r="O316">
        <f t="shared" ca="1" si="51"/>
        <v>15</v>
      </c>
      <c r="P316" s="1">
        <f t="shared" ca="1" si="52"/>
        <v>44895</v>
      </c>
      <c r="Q316" s="1">
        <f t="shared" ca="1" si="53"/>
        <v>44895</v>
      </c>
      <c r="R316">
        <f t="shared" ca="1" si="54"/>
        <v>15</v>
      </c>
      <c r="S316" t="str">
        <f t="shared" ca="1" si="55"/>
        <v>On Time</v>
      </c>
      <c r="T316" t="str">
        <f t="shared" ca="1" si="56"/>
        <v>0-30</v>
      </c>
      <c r="U316">
        <f t="shared" ca="1" si="57"/>
        <v>0</v>
      </c>
      <c r="V316" t="str">
        <f t="shared" ca="1" si="58"/>
        <v>Efficient</v>
      </c>
      <c r="W316">
        <f t="shared" si="59"/>
        <v>56798.909999999996</v>
      </c>
    </row>
    <row r="317" spans="1:23" x14ac:dyDescent="0.35">
      <c r="A317" t="s">
        <v>342</v>
      </c>
      <c r="B317" t="s">
        <v>23</v>
      </c>
      <c r="C317" s="1">
        <v>44784</v>
      </c>
      <c r="D317" s="1">
        <v>44798</v>
      </c>
      <c r="E317" t="s">
        <v>24</v>
      </c>
      <c r="F317" t="s">
        <v>18</v>
      </c>
      <c r="G317">
        <v>193</v>
      </c>
      <c r="H317">
        <v>63.86</v>
      </c>
      <c r="I317">
        <v>57.46</v>
      </c>
      <c r="K317">
        <f t="shared" si="48"/>
        <v>193</v>
      </c>
      <c r="L317" t="s">
        <v>15</v>
      </c>
      <c r="M317" s="1">
        <f t="shared" si="49"/>
        <v>44798</v>
      </c>
      <c r="N317" t="str">
        <f t="shared" ca="1" si="50"/>
        <v>Net 45</v>
      </c>
      <c r="O317">
        <f t="shared" ca="1" si="51"/>
        <v>45</v>
      </c>
      <c r="P317" s="1">
        <f t="shared" ca="1" si="52"/>
        <v>44843</v>
      </c>
      <c r="Q317" s="1">
        <f t="shared" ca="1" si="53"/>
        <v>44852</v>
      </c>
      <c r="R317">
        <f t="shared" ca="1" si="54"/>
        <v>54</v>
      </c>
      <c r="S317" t="str">
        <f t="shared" ca="1" si="55"/>
        <v>Late</v>
      </c>
      <c r="T317" t="str">
        <f t="shared" ca="1" si="56"/>
        <v>31-60</v>
      </c>
      <c r="U317">
        <f t="shared" ca="1" si="57"/>
        <v>9</v>
      </c>
      <c r="V317" t="str">
        <f t="shared" ca="1" si="58"/>
        <v>Inefficient</v>
      </c>
      <c r="W317">
        <f t="shared" si="59"/>
        <v>11089.78</v>
      </c>
    </row>
    <row r="318" spans="1:23" x14ac:dyDescent="0.35">
      <c r="A318" t="s">
        <v>343</v>
      </c>
      <c r="B318" t="s">
        <v>23</v>
      </c>
      <c r="C318" s="1">
        <v>44621</v>
      </c>
      <c r="D318" s="1">
        <v>44625</v>
      </c>
      <c r="E318" t="s">
        <v>26</v>
      </c>
      <c r="F318" t="s">
        <v>18</v>
      </c>
      <c r="G318">
        <v>658</v>
      </c>
      <c r="H318">
        <v>86.62</v>
      </c>
      <c r="I318">
        <v>79.849999999999994</v>
      </c>
      <c r="J318">
        <v>72</v>
      </c>
      <c r="K318">
        <f t="shared" si="48"/>
        <v>586</v>
      </c>
      <c r="L318" t="s">
        <v>15</v>
      </c>
      <c r="M318" s="1">
        <f t="shared" si="49"/>
        <v>44625</v>
      </c>
      <c r="N318" t="str">
        <f t="shared" ca="1" si="50"/>
        <v>Net 30</v>
      </c>
      <c r="O318">
        <f t="shared" ca="1" si="51"/>
        <v>30</v>
      </c>
      <c r="P318" s="1">
        <f t="shared" ca="1" si="52"/>
        <v>44655</v>
      </c>
      <c r="Q318" s="1">
        <f t="shared" ca="1" si="53"/>
        <v>44661</v>
      </c>
      <c r="R318">
        <f t="shared" ca="1" si="54"/>
        <v>36</v>
      </c>
      <c r="S318" t="str">
        <f t="shared" ca="1" si="55"/>
        <v>Late</v>
      </c>
      <c r="T318" t="str">
        <f t="shared" ca="1" si="56"/>
        <v>31-60</v>
      </c>
      <c r="U318">
        <f t="shared" ca="1" si="57"/>
        <v>6</v>
      </c>
      <c r="V318" t="str">
        <f t="shared" ca="1" si="58"/>
        <v>Inefficient</v>
      </c>
      <c r="W318">
        <f t="shared" si="59"/>
        <v>52541.299999999996</v>
      </c>
    </row>
    <row r="319" spans="1:23" x14ac:dyDescent="0.35">
      <c r="A319" t="s">
        <v>344</v>
      </c>
      <c r="B319" t="s">
        <v>29</v>
      </c>
      <c r="C319" s="1">
        <v>45155</v>
      </c>
      <c r="D319" s="1">
        <v>45173</v>
      </c>
      <c r="E319" t="s">
        <v>39</v>
      </c>
      <c r="F319" t="s">
        <v>18</v>
      </c>
      <c r="G319">
        <v>1274</v>
      </c>
      <c r="H319">
        <v>24.72</v>
      </c>
      <c r="I319">
        <v>23.36</v>
      </c>
      <c r="J319">
        <v>37</v>
      </c>
      <c r="K319">
        <f t="shared" si="48"/>
        <v>1237</v>
      </c>
      <c r="L319" t="s">
        <v>15</v>
      </c>
      <c r="M319" s="1">
        <f t="shared" si="49"/>
        <v>45173</v>
      </c>
      <c r="N319" t="str">
        <f t="shared" ca="1" si="50"/>
        <v>Net 45</v>
      </c>
      <c r="O319">
        <f t="shared" ca="1" si="51"/>
        <v>45</v>
      </c>
      <c r="P319" s="1">
        <f t="shared" ca="1" si="52"/>
        <v>45218</v>
      </c>
      <c r="Q319" s="1">
        <f t="shared" ca="1" si="53"/>
        <v>45225</v>
      </c>
      <c r="R319">
        <f t="shared" ca="1" si="54"/>
        <v>52</v>
      </c>
      <c r="S319" t="str">
        <f t="shared" ca="1" si="55"/>
        <v>Late</v>
      </c>
      <c r="T319" t="str">
        <f t="shared" ca="1" si="56"/>
        <v>31-60</v>
      </c>
      <c r="U319">
        <f t="shared" ca="1" si="57"/>
        <v>7</v>
      </c>
      <c r="V319" t="str">
        <f t="shared" ca="1" si="58"/>
        <v>Inefficient</v>
      </c>
      <c r="W319">
        <f t="shared" si="59"/>
        <v>29760.639999999999</v>
      </c>
    </row>
    <row r="320" spans="1:23" x14ac:dyDescent="0.35">
      <c r="A320" t="s">
        <v>345</v>
      </c>
      <c r="B320" t="s">
        <v>29</v>
      </c>
      <c r="C320" s="1">
        <v>45117</v>
      </c>
      <c r="D320" s="1">
        <v>45124</v>
      </c>
      <c r="E320" t="s">
        <v>24</v>
      </c>
      <c r="F320" t="s">
        <v>33</v>
      </c>
      <c r="G320">
        <v>1197</v>
      </c>
      <c r="H320">
        <v>88.92</v>
      </c>
      <c r="I320">
        <v>78.819999999999993</v>
      </c>
      <c r="J320">
        <v>31</v>
      </c>
      <c r="K320">
        <f t="shared" si="48"/>
        <v>1166</v>
      </c>
      <c r="L320" t="s">
        <v>15</v>
      </c>
      <c r="M320" s="1">
        <f t="shared" si="49"/>
        <v>45124</v>
      </c>
      <c r="N320" t="str">
        <f t="shared" ca="1" si="50"/>
        <v>Net 15</v>
      </c>
      <c r="O320">
        <f t="shared" ca="1" si="51"/>
        <v>15</v>
      </c>
      <c r="P320" s="1">
        <f t="shared" ca="1" si="52"/>
        <v>45139</v>
      </c>
      <c r="Q320" s="1">
        <f t="shared" ca="1" si="53"/>
        <v>45139</v>
      </c>
      <c r="R320">
        <f t="shared" ca="1" si="54"/>
        <v>15</v>
      </c>
      <c r="S320" t="str">
        <f t="shared" ca="1" si="55"/>
        <v>On Time</v>
      </c>
      <c r="T320" t="str">
        <f t="shared" ca="1" si="56"/>
        <v>0-30</v>
      </c>
      <c r="U320">
        <f t="shared" ca="1" si="57"/>
        <v>0</v>
      </c>
      <c r="V320" t="str">
        <f t="shared" ca="1" si="58"/>
        <v>Efficient</v>
      </c>
      <c r="W320">
        <f t="shared" si="59"/>
        <v>94347.54</v>
      </c>
    </row>
    <row r="321" spans="1:23" x14ac:dyDescent="0.35">
      <c r="A321" t="s">
        <v>346</v>
      </c>
      <c r="B321" t="s">
        <v>20</v>
      </c>
      <c r="C321" s="1">
        <v>44624</v>
      </c>
      <c r="D321" s="1">
        <v>44632</v>
      </c>
      <c r="E321" t="s">
        <v>39</v>
      </c>
      <c r="F321" t="s">
        <v>18</v>
      </c>
      <c r="G321">
        <v>236</v>
      </c>
      <c r="H321">
        <v>28.43</v>
      </c>
      <c r="I321">
        <v>28.11</v>
      </c>
      <c r="J321">
        <v>11</v>
      </c>
      <c r="K321">
        <f t="shared" si="48"/>
        <v>225</v>
      </c>
      <c r="L321" t="s">
        <v>15</v>
      </c>
      <c r="M321" s="1">
        <f t="shared" si="49"/>
        <v>44632</v>
      </c>
      <c r="N321" t="str">
        <f t="shared" ca="1" si="50"/>
        <v>Net 30</v>
      </c>
      <c r="O321">
        <f t="shared" ca="1" si="51"/>
        <v>30</v>
      </c>
      <c r="P321" s="1">
        <f t="shared" ca="1" si="52"/>
        <v>44662</v>
      </c>
      <c r="Q321" s="1">
        <f t="shared" ca="1" si="53"/>
        <v>44675</v>
      </c>
      <c r="R321">
        <f t="shared" ca="1" si="54"/>
        <v>43</v>
      </c>
      <c r="S321" t="str">
        <f t="shared" ca="1" si="55"/>
        <v>Late</v>
      </c>
      <c r="T321" t="str">
        <f t="shared" ca="1" si="56"/>
        <v>31-60</v>
      </c>
      <c r="U321">
        <f t="shared" ca="1" si="57"/>
        <v>13</v>
      </c>
      <c r="V321" t="str">
        <f t="shared" ca="1" si="58"/>
        <v>Inefficient</v>
      </c>
      <c r="W321">
        <f t="shared" si="59"/>
        <v>6633.96</v>
      </c>
    </row>
    <row r="322" spans="1:23" x14ac:dyDescent="0.35">
      <c r="A322" t="s">
        <v>347</v>
      </c>
      <c r="B322" t="s">
        <v>20</v>
      </c>
      <c r="C322" s="1">
        <v>44883</v>
      </c>
      <c r="D322" s="1">
        <v>44898</v>
      </c>
      <c r="E322" t="s">
        <v>26</v>
      </c>
      <c r="F322" t="s">
        <v>33</v>
      </c>
      <c r="G322">
        <v>1399</v>
      </c>
      <c r="H322">
        <v>25.97</v>
      </c>
      <c r="I322">
        <v>22.19</v>
      </c>
      <c r="J322">
        <v>62</v>
      </c>
      <c r="K322">
        <f t="shared" si="48"/>
        <v>1337</v>
      </c>
      <c r="L322" t="s">
        <v>15</v>
      </c>
      <c r="M322" s="1">
        <f t="shared" si="49"/>
        <v>44898</v>
      </c>
      <c r="N322" t="str">
        <f t="shared" ca="1" si="50"/>
        <v>Net 45</v>
      </c>
      <c r="O322">
        <f t="shared" ca="1" si="51"/>
        <v>45</v>
      </c>
      <c r="P322" s="1">
        <f t="shared" ca="1" si="52"/>
        <v>44943</v>
      </c>
      <c r="Q322" s="1">
        <f t="shared" ca="1" si="53"/>
        <v>44961</v>
      </c>
      <c r="R322">
        <f t="shared" ca="1" si="54"/>
        <v>63</v>
      </c>
      <c r="S322" t="str">
        <f t="shared" ca="1" si="55"/>
        <v>Late</v>
      </c>
      <c r="T322" t="str">
        <f t="shared" ca="1" si="56"/>
        <v>61-90</v>
      </c>
      <c r="U322">
        <f t="shared" ca="1" si="57"/>
        <v>18</v>
      </c>
      <c r="V322" t="str">
        <f t="shared" ca="1" si="58"/>
        <v>Inefficient</v>
      </c>
      <c r="W322">
        <f t="shared" si="59"/>
        <v>31043.81</v>
      </c>
    </row>
    <row r="323" spans="1:23" x14ac:dyDescent="0.35">
      <c r="A323" t="s">
        <v>348</v>
      </c>
      <c r="B323" t="s">
        <v>20</v>
      </c>
      <c r="C323" s="1">
        <v>44620</v>
      </c>
      <c r="D323" s="1">
        <v>44624</v>
      </c>
      <c r="E323" t="s">
        <v>39</v>
      </c>
      <c r="F323" t="s">
        <v>18</v>
      </c>
      <c r="G323">
        <v>513</v>
      </c>
      <c r="H323">
        <v>24.91</v>
      </c>
      <c r="I323">
        <v>22.58</v>
      </c>
      <c r="J323">
        <v>29</v>
      </c>
      <c r="K323">
        <f t="shared" ref="K323:K386" si="60">G323-J323</f>
        <v>484</v>
      </c>
      <c r="L323" t="s">
        <v>15</v>
      </c>
      <c r="M323" s="1">
        <f t="shared" ref="M323:M386" si="61">D323</f>
        <v>44624</v>
      </c>
      <c r="N323" t="str">
        <f t="shared" ref="N323:N386" ca="1" si="62">CHOOSE(RANDBETWEEN(1,3),"Net 15","Net 30","Net 45")</f>
        <v>Net 45</v>
      </c>
      <c r="O323">
        <f t="shared" ref="O323:O386" ca="1" si="63">VALUE(RIGHT(N323,2))</f>
        <v>45</v>
      </c>
      <c r="P323" s="1">
        <f t="shared" ref="P323:P386" ca="1" si="64">(M323+O323)</f>
        <v>44669</v>
      </c>
      <c r="Q323" s="1">
        <f t="shared" ref="Q323:Q386" ca="1" si="65">P323 + RANDBETWEEN(-5,20)</f>
        <v>44668</v>
      </c>
      <c r="R323">
        <f t="shared" ref="R323:R386" ca="1" si="66">Q323-M323</f>
        <v>44</v>
      </c>
      <c r="S323" t="str">
        <f t="shared" ref="S323:S386" ca="1" si="67">IF(Q323&lt;=P323,"On Time","Late")</f>
        <v>On Time</v>
      </c>
      <c r="T323" t="str">
        <f t="shared" ref="T323:T386" ca="1" si="68">IF(R323&lt;=30,"0-30",
IF(R323&lt;=60,"31-60",
IF(R323&lt;=90,"61-90","90+")))</f>
        <v>31-60</v>
      </c>
      <c r="U323">
        <f t="shared" ref="U323:U386" ca="1" si="69">MAX(0,Q323-P323)</f>
        <v>0</v>
      </c>
      <c r="V323" t="str">
        <f t="shared" ref="V323:V386" ca="1" si="70">IF(U323=0,"Efficient","Inefficient")</f>
        <v>Efficient</v>
      </c>
      <c r="W323">
        <f t="shared" ref="W323:W386" si="71">G323*I323</f>
        <v>11583.539999999999</v>
      </c>
    </row>
    <row r="324" spans="1:23" x14ac:dyDescent="0.35">
      <c r="A324" t="s">
        <v>349</v>
      </c>
      <c r="B324" t="s">
        <v>17</v>
      </c>
      <c r="C324" s="1">
        <v>44613</v>
      </c>
      <c r="D324" s="1">
        <v>44624</v>
      </c>
      <c r="E324" t="s">
        <v>21</v>
      </c>
      <c r="F324" t="s">
        <v>18</v>
      </c>
      <c r="G324">
        <v>1422</v>
      </c>
      <c r="H324">
        <v>83.73</v>
      </c>
      <c r="I324">
        <v>76.47</v>
      </c>
      <c r="J324">
        <v>198</v>
      </c>
      <c r="K324">
        <f t="shared" si="60"/>
        <v>1224</v>
      </c>
      <c r="L324" t="s">
        <v>15</v>
      </c>
      <c r="M324" s="1">
        <f t="shared" si="61"/>
        <v>44624</v>
      </c>
      <c r="N324" t="str">
        <f t="shared" ca="1" si="62"/>
        <v>Net 45</v>
      </c>
      <c r="O324">
        <f t="shared" ca="1" si="63"/>
        <v>45</v>
      </c>
      <c r="P324" s="1">
        <f t="shared" ca="1" si="64"/>
        <v>44669</v>
      </c>
      <c r="Q324" s="1">
        <f t="shared" ca="1" si="65"/>
        <v>44686</v>
      </c>
      <c r="R324">
        <f t="shared" ca="1" si="66"/>
        <v>62</v>
      </c>
      <c r="S324" t="str">
        <f t="shared" ca="1" si="67"/>
        <v>Late</v>
      </c>
      <c r="T324" t="str">
        <f t="shared" ca="1" si="68"/>
        <v>61-90</v>
      </c>
      <c r="U324">
        <f t="shared" ca="1" si="69"/>
        <v>17</v>
      </c>
      <c r="V324" t="str">
        <f t="shared" ca="1" si="70"/>
        <v>Inefficient</v>
      </c>
      <c r="W324">
        <f t="shared" si="71"/>
        <v>108740.34</v>
      </c>
    </row>
    <row r="325" spans="1:23" x14ac:dyDescent="0.35">
      <c r="A325" t="s">
        <v>350</v>
      </c>
      <c r="B325" t="s">
        <v>12</v>
      </c>
      <c r="C325" s="1">
        <v>45160</v>
      </c>
      <c r="D325" s="1">
        <v>45172</v>
      </c>
      <c r="E325" t="s">
        <v>13</v>
      </c>
      <c r="F325" t="s">
        <v>18</v>
      </c>
      <c r="G325">
        <v>1844</v>
      </c>
      <c r="H325">
        <v>76.510000000000005</v>
      </c>
      <c r="I325">
        <v>73.05</v>
      </c>
      <c r="K325">
        <f t="shared" si="60"/>
        <v>1844</v>
      </c>
      <c r="L325" t="s">
        <v>15</v>
      </c>
      <c r="M325" s="1">
        <f t="shared" si="61"/>
        <v>45172</v>
      </c>
      <c r="N325" t="str">
        <f t="shared" ca="1" si="62"/>
        <v>Net 15</v>
      </c>
      <c r="O325">
        <f t="shared" ca="1" si="63"/>
        <v>15</v>
      </c>
      <c r="P325" s="1">
        <f t="shared" ca="1" si="64"/>
        <v>45187</v>
      </c>
      <c r="Q325" s="1">
        <f t="shared" ca="1" si="65"/>
        <v>45189</v>
      </c>
      <c r="R325">
        <f t="shared" ca="1" si="66"/>
        <v>17</v>
      </c>
      <c r="S325" t="str">
        <f t="shared" ca="1" si="67"/>
        <v>Late</v>
      </c>
      <c r="T325" t="str">
        <f t="shared" ca="1" si="68"/>
        <v>0-30</v>
      </c>
      <c r="U325">
        <f t="shared" ca="1" si="69"/>
        <v>2</v>
      </c>
      <c r="V325" t="str">
        <f t="shared" ca="1" si="70"/>
        <v>Inefficient</v>
      </c>
      <c r="W325">
        <f t="shared" si="71"/>
        <v>134704.19999999998</v>
      </c>
    </row>
    <row r="326" spans="1:23" x14ac:dyDescent="0.35">
      <c r="A326" t="s">
        <v>351</v>
      </c>
      <c r="B326" t="s">
        <v>20</v>
      </c>
      <c r="C326" s="1">
        <v>45050</v>
      </c>
      <c r="E326" t="s">
        <v>39</v>
      </c>
      <c r="F326" t="s">
        <v>18</v>
      </c>
      <c r="G326">
        <v>709</v>
      </c>
      <c r="H326">
        <v>61.64</v>
      </c>
      <c r="I326">
        <v>54.55</v>
      </c>
      <c r="J326">
        <v>41</v>
      </c>
      <c r="K326">
        <f t="shared" si="60"/>
        <v>668</v>
      </c>
      <c r="L326" t="s">
        <v>15</v>
      </c>
      <c r="M326" s="1">
        <f t="shared" si="61"/>
        <v>0</v>
      </c>
      <c r="N326" t="str">
        <f t="shared" ca="1" si="62"/>
        <v>Net 15</v>
      </c>
      <c r="O326">
        <f t="shared" ca="1" si="63"/>
        <v>15</v>
      </c>
      <c r="P326" s="1">
        <f t="shared" ca="1" si="64"/>
        <v>15</v>
      </c>
      <c r="Q326" s="1">
        <f t="shared" ca="1" si="65"/>
        <v>32</v>
      </c>
      <c r="R326">
        <f t="shared" ca="1" si="66"/>
        <v>32</v>
      </c>
      <c r="S326" t="str">
        <f t="shared" ca="1" si="67"/>
        <v>Late</v>
      </c>
      <c r="T326" t="str">
        <f t="shared" ca="1" si="68"/>
        <v>31-60</v>
      </c>
      <c r="U326">
        <f t="shared" ca="1" si="69"/>
        <v>17</v>
      </c>
      <c r="V326" t="str">
        <f t="shared" ca="1" si="70"/>
        <v>Inefficient</v>
      </c>
      <c r="W326">
        <f t="shared" si="71"/>
        <v>38675.949999999997</v>
      </c>
    </row>
    <row r="327" spans="1:23" x14ac:dyDescent="0.35">
      <c r="A327" t="s">
        <v>352</v>
      </c>
      <c r="B327" t="s">
        <v>17</v>
      </c>
      <c r="C327" s="1">
        <v>45076</v>
      </c>
      <c r="D327" s="1">
        <v>45092</v>
      </c>
      <c r="E327" t="s">
        <v>21</v>
      </c>
      <c r="F327" t="s">
        <v>18</v>
      </c>
      <c r="G327">
        <v>813</v>
      </c>
      <c r="H327">
        <v>45.68</v>
      </c>
      <c r="I327">
        <v>41.78</v>
      </c>
      <c r="K327">
        <f t="shared" si="60"/>
        <v>813</v>
      </c>
      <c r="L327" t="s">
        <v>27</v>
      </c>
      <c r="M327" s="1">
        <f t="shared" si="61"/>
        <v>45092</v>
      </c>
      <c r="N327" t="str">
        <f t="shared" ca="1" si="62"/>
        <v>Net 15</v>
      </c>
      <c r="O327">
        <f t="shared" ca="1" si="63"/>
        <v>15</v>
      </c>
      <c r="P327" s="1">
        <f t="shared" ca="1" si="64"/>
        <v>45107</v>
      </c>
      <c r="Q327" s="1">
        <f t="shared" ca="1" si="65"/>
        <v>45102</v>
      </c>
      <c r="R327">
        <f t="shared" ca="1" si="66"/>
        <v>10</v>
      </c>
      <c r="S327" t="str">
        <f t="shared" ca="1" si="67"/>
        <v>On Time</v>
      </c>
      <c r="T327" t="str">
        <f t="shared" ca="1" si="68"/>
        <v>0-30</v>
      </c>
      <c r="U327">
        <f t="shared" ca="1" si="69"/>
        <v>0</v>
      </c>
      <c r="V327" t="str">
        <f t="shared" ca="1" si="70"/>
        <v>Efficient</v>
      </c>
      <c r="W327">
        <f t="shared" si="71"/>
        <v>33967.14</v>
      </c>
    </row>
    <row r="328" spans="1:23" x14ac:dyDescent="0.35">
      <c r="A328" t="s">
        <v>353</v>
      </c>
      <c r="B328" t="s">
        <v>17</v>
      </c>
      <c r="C328" s="1">
        <v>45105</v>
      </c>
      <c r="D328" s="1">
        <v>45108</v>
      </c>
      <c r="E328" t="s">
        <v>13</v>
      </c>
      <c r="F328" t="s">
        <v>18</v>
      </c>
      <c r="G328">
        <v>1004</v>
      </c>
      <c r="H328">
        <v>96.51</v>
      </c>
      <c r="I328">
        <v>92.9</v>
      </c>
      <c r="J328">
        <v>146</v>
      </c>
      <c r="K328">
        <f t="shared" si="60"/>
        <v>858</v>
      </c>
      <c r="L328" t="s">
        <v>27</v>
      </c>
      <c r="M328" s="1">
        <f t="shared" si="61"/>
        <v>45108</v>
      </c>
      <c r="N328" t="str">
        <f t="shared" ca="1" si="62"/>
        <v>Net 30</v>
      </c>
      <c r="O328">
        <f t="shared" ca="1" si="63"/>
        <v>30</v>
      </c>
      <c r="P328" s="1">
        <f t="shared" ca="1" si="64"/>
        <v>45138</v>
      </c>
      <c r="Q328" s="1">
        <f t="shared" ca="1" si="65"/>
        <v>45139</v>
      </c>
      <c r="R328">
        <f t="shared" ca="1" si="66"/>
        <v>31</v>
      </c>
      <c r="S328" t="str">
        <f t="shared" ca="1" si="67"/>
        <v>Late</v>
      </c>
      <c r="T328" t="str">
        <f t="shared" ca="1" si="68"/>
        <v>31-60</v>
      </c>
      <c r="U328">
        <f t="shared" ca="1" si="69"/>
        <v>1</v>
      </c>
      <c r="V328" t="str">
        <f t="shared" ca="1" si="70"/>
        <v>Inefficient</v>
      </c>
      <c r="W328">
        <f t="shared" si="71"/>
        <v>93271.6</v>
      </c>
    </row>
    <row r="329" spans="1:23" x14ac:dyDescent="0.35">
      <c r="A329" t="s">
        <v>354</v>
      </c>
      <c r="B329" t="s">
        <v>29</v>
      </c>
      <c r="C329" s="1">
        <v>44723</v>
      </c>
      <c r="D329" s="1">
        <v>44727</v>
      </c>
      <c r="E329" t="s">
        <v>26</v>
      </c>
      <c r="F329" t="s">
        <v>18</v>
      </c>
      <c r="G329">
        <v>452</v>
      </c>
      <c r="H329">
        <v>46.45</v>
      </c>
      <c r="I329">
        <v>40.39</v>
      </c>
      <c r="J329">
        <v>9</v>
      </c>
      <c r="K329">
        <f t="shared" si="60"/>
        <v>443</v>
      </c>
      <c r="L329" t="s">
        <v>15</v>
      </c>
      <c r="M329" s="1">
        <f t="shared" si="61"/>
        <v>44727</v>
      </c>
      <c r="N329" t="str">
        <f t="shared" ca="1" si="62"/>
        <v>Net 45</v>
      </c>
      <c r="O329">
        <f t="shared" ca="1" si="63"/>
        <v>45</v>
      </c>
      <c r="P329" s="1">
        <f t="shared" ca="1" si="64"/>
        <v>44772</v>
      </c>
      <c r="Q329" s="1">
        <f t="shared" ca="1" si="65"/>
        <v>44786</v>
      </c>
      <c r="R329">
        <f t="shared" ca="1" si="66"/>
        <v>59</v>
      </c>
      <c r="S329" t="str">
        <f t="shared" ca="1" si="67"/>
        <v>Late</v>
      </c>
      <c r="T329" t="str">
        <f t="shared" ca="1" si="68"/>
        <v>31-60</v>
      </c>
      <c r="U329">
        <f t="shared" ca="1" si="69"/>
        <v>14</v>
      </c>
      <c r="V329" t="str">
        <f t="shared" ca="1" si="70"/>
        <v>Inefficient</v>
      </c>
      <c r="W329">
        <f t="shared" si="71"/>
        <v>18256.28</v>
      </c>
    </row>
    <row r="330" spans="1:23" x14ac:dyDescent="0.35">
      <c r="A330" t="s">
        <v>355</v>
      </c>
      <c r="B330" t="s">
        <v>23</v>
      </c>
      <c r="C330" s="1">
        <v>44620</v>
      </c>
      <c r="D330" s="1">
        <v>44632</v>
      </c>
      <c r="E330" t="s">
        <v>26</v>
      </c>
      <c r="F330" t="s">
        <v>35</v>
      </c>
      <c r="G330">
        <v>1419</v>
      </c>
      <c r="H330">
        <v>83.91</v>
      </c>
      <c r="I330">
        <v>71.459999999999994</v>
      </c>
      <c r="J330">
        <v>137</v>
      </c>
      <c r="K330">
        <f t="shared" si="60"/>
        <v>1282</v>
      </c>
      <c r="L330" t="s">
        <v>15</v>
      </c>
      <c r="M330" s="1">
        <f t="shared" si="61"/>
        <v>44632</v>
      </c>
      <c r="N330" t="str">
        <f t="shared" ca="1" si="62"/>
        <v>Net 15</v>
      </c>
      <c r="O330">
        <f t="shared" ca="1" si="63"/>
        <v>15</v>
      </c>
      <c r="P330" s="1">
        <f t="shared" ca="1" si="64"/>
        <v>44647</v>
      </c>
      <c r="Q330" s="1">
        <f t="shared" ca="1" si="65"/>
        <v>44666</v>
      </c>
      <c r="R330">
        <f t="shared" ca="1" si="66"/>
        <v>34</v>
      </c>
      <c r="S330" t="str">
        <f t="shared" ca="1" si="67"/>
        <v>Late</v>
      </c>
      <c r="T330" t="str">
        <f t="shared" ca="1" si="68"/>
        <v>31-60</v>
      </c>
      <c r="U330">
        <f t="shared" ca="1" si="69"/>
        <v>19</v>
      </c>
      <c r="V330" t="str">
        <f t="shared" ca="1" si="70"/>
        <v>Inefficient</v>
      </c>
      <c r="W330">
        <f t="shared" si="71"/>
        <v>101401.73999999999</v>
      </c>
    </row>
    <row r="331" spans="1:23" x14ac:dyDescent="0.35">
      <c r="A331" t="s">
        <v>356</v>
      </c>
      <c r="B331" t="s">
        <v>23</v>
      </c>
      <c r="C331" s="1">
        <v>45082</v>
      </c>
      <c r="D331" s="1">
        <v>45100</v>
      </c>
      <c r="E331" t="s">
        <v>24</v>
      </c>
      <c r="F331" t="s">
        <v>18</v>
      </c>
      <c r="G331">
        <v>1584</v>
      </c>
      <c r="H331">
        <v>53.73</v>
      </c>
      <c r="I331">
        <v>51.92</v>
      </c>
      <c r="J331">
        <v>167</v>
      </c>
      <c r="K331">
        <f t="shared" si="60"/>
        <v>1417</v>
      </c>
      <c r="L331" t="s">
        <v>27</v>
      </c>
      <c r="M331" s="1">
        <f t="shared" si="61"/>
        <v>45100</v>
      </c>
      <c r="N331" t="str">
        <f t="shared" ca="1" si="62"/>
        <v>Net 15</v>
      </c>
      <c r="O331">
        <f t="shared" ca="1" si="63"/>
        <v>15</v>
      </c>
      <c r="P331" s="1">
        <f t="shared" ca="1" si="64"/>
        <v>45115</v>
      </c>
      <c r="Q331" s="1">
        <f t="shared" ca="1" si="65"/>
        <v>45134</v>
      </c>
      <c r="R331">
        <f t="shared" ca="1" si="66"/>
        <v>34</v>
      </c>
      <c r="S331" t="str">
        <f t="shared" ca="1" si="67"/>
        <v>Late</v>
      </c>
      <c r="T331" t="str">
        <f t="shared" ca="1" si="68"/>
        <v>31-60</v>
      </c>
      <c r="U331">
        <f t="shared" ca="1" si="69"/>
        <v>19</v>
      </c>
      <c r="V331" t="str">
        <f t="shared" ca="1" si="70"/>
        <v>Inefficient</v>
      </c>
      <c r="W331">
        <f t="shared" si="71"/>
        <v>82241.279999999999</v>
      </c>
    </row>
    <row r="332" spans="1:23" x14ac:dyDescent="0.35">
      <c r="A332" t="s">
        <v>357</v>
      </c>
      <c r="B332" t="s">
        <v>20</v>
      </c>
      <c r="C332" s="1">
        <v>44644</v>
      </c>
      <c r="D332" s="1">
        <v>44662</v>
      </c>
      <c r="E332" t="s">
        <v>21</v>
      </c>
      <c r="F332" t="s">
        <v>35</v>
      </c>
      <c r="G332">
        <v>196</v>
      </c>
      <c r="H332">
        <v>44.36</v>
      </c>
      <c r="I332">
        <v>43.81</v>
      </c>
      <c r="J332">
        <v>6</v>
      </c>
      <c r="K332">
        <f t="shared" si="60"/>
        <v>190</v>
      </c>
      <c r="L332" t="s">
        <v>15</v>
      </c>
      <c r="M332" s="1">
        <f t="shared" si="61"/>
        <v>44662</v>
      </c>
      <c r="N332" t="str">
        <f t="shared" ca="1" si="62"/>
        <v>Net 30</v>
      </c>
      <c r="O332">
        <f t="shared" ca="1" si="63"/>
        <v>30</v>
      </c>
      <c r="P332" s="1">
        <f t="shared" ca="1" si="64"/>
        <v>44692</v>
      </c>
      <c r="Q332" s="1">
        <f t="shared" ca="1" si="65"/>
        <v>44703</v>
      </c>
      <c r="R332">
        <f t="shared" ca="1" si="66"/>
        <v>41</v>
      </c>
      <c r="S332" t="str">
        <f t="shared" ca="1" si="67"/>
        <v>Late</v>
      </c>
      <c r="T332" t="str">
        <f t="shared" ca="1" si="68"/>
        <v>31-60</v>
      </c>
      <c r="U332">
        <f t="shared" ca="1" si="69"/>
        <v>11</v>
      </c>
      <c r="V332" t="str">
        <f t="shared" ca="1" si="70"/>
        <v>Inefficient</v>
      </c>
      <c r="W332">
        <f t="shared" si="71"/>
        <v>8586.76</v>
      </c>
    </row>
    <row r="333" spans="1:23" x14ac:dyDescent="0.35">
      <c r="A333" t="s">
        <v>358</v>
      </c>
      <c r="B333" t="s">
        <v>12</v>
      </c>
      <c r="C333" s="1">
        <v>44752</v>
      </c>
      <c r="D333" s="1">
        <v>44756</v>
      </c>
      <c r="E333" t="s">
        <v>13</v>
      </c>
      <c r="F333" t="s">
        <v>18</v>
      </c>
      <c r="G333">
        <v>1221</v>
      </c>
      <c r="H333">
        <v>53.19</v>
      </c>
      <c r="I333">
        <v>46.18</v>
      </c>
      <c r="J333">
        <v>29</v>
      </c>
      <c r="K333">
        <f t="shared" si="60"/>
        <v>1192</v>
      </c>
      <c r="L333" t="s">
        <v>15</v>
      </c>
      <c r="M333" s="1">
        <f t="shared" si="61"/>
        <v>44756</v>
      </c>
      <c r="N333" t="str">
        <f t="shared" ca="1" si="62"/>
        <v>Net 45</v>
      </c>
      <c r="O333">
        <f t="shared" ca="1" si="63"/>
        <v>45</v>
      </c>
      <c r="P333" s="1">
        <f t="shared" ca="1" si="64"/>
        <v>44801</v>
      </c>
      <c r="Q333" s="1">
        <f t="shared" ca="1" si="65"/>
        <v>44821</v>
      </c>
      <c r="R333">
        <f t="shared" ca="1" si="66"/>
        <v>65</v>
      </c>
      <c r="S333" t="str">
        <f t="shared" ca="1" si="67"/>
        <v>Late</v>
      </c>
      <c r="T333" t="str">
        <f t="shared" ca="1" si="68"/>
        <v>61-90</v>
      </c>
      <c r="U333">
        <f t="shared" ca="1" si="69"/>
        <v>20</v>
      </c>
      <c r="V333" t="str">
        <f t="shared" ca="1" si="70"/>
        <v>Inefficient</v>
      </c>
      <c r="W333">
        <f t="shared" si="71"/>
        <v>56385.78</v>
      </c>
    </row>
    <row r="334" spans="1:23" x14ac:dyDescent="0.35">
      <c r="A334" t="s">
        <v>359</v>
      </c>
      <c r="B334" t="s">
        <v>12</v>
      </c>
      <c r="C334" s="1">
        <v>44632</v>
      </c>
      <c r="D334" s="1">
        <v>44646</v>
      </c>
      <c r="E334" t="s">
        <v>24</v>
      </c>
      <c r="F334" t="s">
        <v>18</v>
      </c>
      <c r="G334">
        <v>913</v>
      </c>
      <c r="H334">
        <v>37.5</v>
      </c>
      <c r="I334">
        <v>36.200000000000003</v>
      </c>
      <c r="K334">
        <f t="shared" si="60"/>
        <v>913</v>
      </c>
      <c r="L334" t="s">
        <v>15</v>
      </c>
      <c r="M334" s="1">
        <f t="shared" si="61"/>
        <v>44646</v>
      </c>
      <c r="N334" t="str">
        <f t="shared" ca="1" si="62"/>
        <v>Net 15</v>
      </c>
      <c r="O334">
        <f t="shared" ca="1" si="63"/>
        <v>15</v>
      </c>
      <c r="P334" s="1">
        <f t="shared" ca="1" si="64"/>
        <v>44661</v>
      </c>
      <c r="Q334" s="1">
        <f t="shared" ca="1" si="65"/>
        <v>44663</v>
      </c>
      <c r="R334">
        <f t="shared" ca="1" si="66"/>
        <v>17</v>
      </c>
      <c r="S334" t="str">
        <f t="shared" ca="1" si="67"/>
        <v>Late</v>
      </c>
      <c r="T334" t="str">
        <f t="shared" ca="1" si="68"/>
        <v>0-30</v>
      </c>
      <c r="U334">
        <f t="shared" ca="1" si="69"/>
        <v>2</v>
      </c>
      <c r="V334" t="str">
        <f t="shared" ca="1" si="70"/>
        <v>Inefficient</v>
      </c>
      <c r="W334">
        <f t="shared" si="71"/>
        <v>33050.600000000006</v>
      </c>
    </row>
    <row r="335" spans="1:23" x14ac:dyDescent="0.35">
      <c r="A335" t="s">
        <v>360</v>
      </c>
      <c r="B335" t="s">
        <v>12</v>
      </c>
      <c r="C335" s="1">
        <v>45171</v>
      </c>
      <c r="D335" s="1">
        <v>45173</v>
      </c>
      <c r="E335" t="s">
        <v>24</v>
      </c>
      <c r="F335" t="s">
        <v>18</v>
      </c>
      <c r="G335">
        <v>1784</v>
      </c>
      <c r="H335">
        <v>85.01</v>
      </c>
      <c r="I335">
        <v>76.69</v>
      </c>
      <c r="J335">
        <v>37</v>
      </c>
      <c r="K335">
        <f t="shared" si="60"/>
        <v>1747</v>
      </c>
      <c r="L335" t="s">
        <v>15</v>
      </c>
      <c r="M335" s="1">
        <f t="shared" si="61"/>
        <v>45173</v>
      </c>
      <c r="N335" t="str">
        <f t="shared" ca="1" si="62"/>
        <v>Net 45</v>
      </c>
      <c r="O335">
        <f t="shared" ca="1" si="63"/>
        <v>45</v>
      </c>
      <c r="P335" s="1">
        <f t="shared" ca="1" si="64"/>
        <v>45218</v>
      </c>
      <c r="Q335" s="1">
        <f t="shared" ca="1" si="65"/>
        <v>45233</v>
      </c>
      <c r="R335">
        <f t="shared" ca="1" si="66"/>
        <v>60</v>
      </c>
      <c r="S335" t="str">
        <f t="shared" ca="1" si="67"/>
        <v>Late</v>
      </c>
      <c r="T335" t="str">
        <f t="shared" ca="1" si="68"/>
        <v>31-60</v>
      </c>
      <c r="U335">
        <f t="shared" ca="1" si="69"/>
        <v>15</v>
      </c>
      <c r="V335" t="str">
        <f t="shared" ca="1" si="70"/>
        <v>Inefficient</v>
      </c>
      <c r="W335">
        <f t="shared" si="71"/>
        <v>136814.96</v>
      </c>
    </row>
    <row r="336" spans="1:23" x14ac:dyDescent="0.35">
      <c r="A336" t="s">
        <v>361</v>
      </c>
      <c r="B336" t="s">
        <v>17</v>
      </c>
      <c r="C336" s="1">
        <v>44631</v>
      </c>
      <c r="E336" t="s">
        <v>26</v>
      </c>
      <c r="F336" t="s">
        <v>18</v>
      </c>
      <c r="G336">
        <v>1893</v>
      </c>
      <c r="H336">
        <v>55.8</v>
      </c>
      <c r="I336">
        <v>52.35</v>
      </c>
      <c r="K336">
        <f t="shared" si="60"/>
        <v>1893</v>
      </c>
      <c r="L336" t="s">
        <v>15</v>
      </c>
      <c r="M336" s="1">
        <f t="shared" si="61"/>
        <v>0</v>
      </c>
      <c r="N336" t="str">
        <f t="shared" ca="1" si="62"/>
        <v>Net 45</v>
      </c>
      <c r="O336">
        <f t="shared" ca="1" si="63"/>
        <v>45</v>
      </c>
      <c r="P336" s="1">
        <f t="shared" ca="1" si="64"/>
        <v>45</v>
      </c>
      <c r="Q336" s="1">
        <f t="shared" ca="1" si="65"/>
        <v>62</v>
      </c>
      <c r="R336">
        <f t="shared" ca="1" si="66"/>
        <v>62</v>
      </c>
      <c r="S336" t="str">
        <f t="shared" ca="1" si="67"/>
        <v>Late</v>
      </c>
      <c r="T336" t="str">
        <f t="shared" ca="1" si="68"/>
        <v>61-90</v>
      </c>
      <c r="U336">
        <f t="shared" ca="1" si="69"/>
        <v>17</v>
      </c>
      <c r="V336" t="str">
        <f t="shared" ca="1" si="70"/>
        <v>Inefficient</v>
      </c>
      <c r="W336">
        <f t="shared" si="71"/>
        <v>99098.55</v>
      </c>
    </row>
    <row r="337" spans="1:23" x14ac:dyDescent="0.35">
      <c r="A337" t="s">
        <v>362</v>
      </c>
      <c r="B337" t="s">
        <v>17</v>
      </c>
      <c r="C337" s="1">
        <v>45253</v>
      </c>
      <c r="D337" s="1">
        <v>45265</v>
      </c>
      <c r="E337" t="s">
        <v>39</v>
      </c>
      <c r="F337" t="s">
        <v>35</v>
      </c>
      <c r="G337">
        <v>538</v>
      </c>
      <c r="H337">
        <v>34.299999999999997</v>
      </c>
      <c r="I337">
        <v>32.25</v>
      </c>
      <c r="J337">
        <v>84</v>
      </c>
      <c r="K337">
        <f t="shared" si="60"/>
        <v>454</v>
      </c>
      <c r="L337" t="s">
        <v>27</v>
      </c>
      <c r="M337" s="1">
        <f t="shared" si="61"/>
        <v>45265</v>
      </c>
      <c r="N337" t="str">
        <f t="shared" ca="1" si="62"/>
        <v>Net 15</v>
      </c>
      <c r="O337">
        <f t="shared" ca="1" si="63"/>
        <v>15</v>
      </c>
      <c r="P337" s="1">
        <f t="shared" ca="1" si="64"/>
        <v>45280</v>
      </c>
      <c r="Q337" s="1">
        <f t="shared" ca="1" si="65"/>
        <v>45292</v>
      </c>
      <c r="R337">
        <f t="shared" ca="1" si="66"/>
        <v>27</v>
      </c>
      <c r="S337" t="str">
        <f t="shared" ca="1" si="67"/>
        <v>Late</v>
      </c>
      <c r="T337" t="str">
        <f t="shared" ca="1" si="68"/>
        <v>0-30</v>
      </c>
      <c r="U337">
        <f t="shared" ca="1" si="69"/>
        <v>12</v>
      </c>
      <c r="V337" t="str">
        <f t="shared" ca="1" si="70"/>
        <v>Inefficient</v>
      </c>
      <c r="W337">
        <f t="shared" si="71"/>
        <v>17350.5</v>
      </c>
    </row>
    <row r="338" spans="1:23" x14ac:dyDescent="0.35">
      <c r="A338" t="s">
        <v>363</v>
      </c>
      <c r="B338" t="s">
        <v>17</v>
      </c>
      <c r="C338" s="1">
        <v>44802</v>
      </c>
      <c r="D338" s="1">
        <v>44819</v>
      </c>
      <c r="E338" t="s">
        <v>13</v>
      </c>
      <c r="F338" t="s">
        <v>35</v>
      </c>
      <c r="G338">
        <v>978</v>
      </c>
      <c r="H338">
        <v>94.15</v>
      </c>
      <c r="I338">
        <v>87.7</v>
      </c>
      <c r="J338">
        <v>149</v>
      </c>
      <c r="K338">
        <f t="shared" si="60"/>
        <v>829</v>
      </c>
      <c r="L338" t="s">
        <v>27</v>
      </c>
      <c r="M338" s="1">
        <f t="shared" si="61"/>
        <v>44819</v>
      </c>
      <c r="N338" t="str">
        <f t="shared" ca="1" si="62"/>
        <v>Net 15</v>
      </c>
      <c r="O338">
        <f t="shared" ca="1" si="63"/>
        <v>15</v>
      </c>
      <c r="P338" s="1">
        <f t="shared" ca="1" si="64"/>
        <v>44834</v>
      </c>
      <c r="Q338" s="1">
        <f t="shared" ca="1" si="65"/>
        <v>44841</v>
      </c>
      <c r="R338">
        <f t="shared" ca="1" si="66"/>
        <v>22</v>
      </c>
      <c r="S338" t="str">
        <f t="shared" ca="1" si="67"/>
        <v>Late</v>
      </c>
      <c r="T338" t="str">
        <f t="shared" ca="1" si="68"/>
        <v>0-30</v>
      </c>
      <c r="U338">
        <f t="shared" ca="1" si="69"/>
        <v>7</v>
      </c>
      <c r="V338" t="str">
        <f t="shared" ca="1" si="70"/>
        <v>Inefficient</v>
      </c>
      <c r="W338">
        <f t="shared" si="71"/>
        <v>85770.6</v>
      </c>
    </row>
    <row r="339" spans="1:23" x14ac:dyDescent="0.35">
      <c r="A339" t="s">
        <v>364</v>
      </c>
      <c r="B339" t="s">
        <v>29</v>
      </c>
      <c r="C339" s="1">
        <v>44975</v>
      </c>
      <c r="D339" s="1">
        <v>44991</v>
      </c>
      <c r="E339" t="s">
        <v>26</v>
      </c>
      <c r="F339" t="s">
        <v>14</v>
      </c>
      <c r="G339">
        <v>1713</v>
      </c>
      <c r="H339">
        <v>47.45</v>
      </c>
      <c r="I339">
        <v>42.05</v>
      </c>
      <c r="J339">
        <v>53</v>
      </c>
      <c r="K339">
        <f t="shared" si="60"/>
        <v>1660</v>
      </c>
      <c r="L339" t="s">
        <v>15</v>
      </c>
      <c r="M339" s="1">
        <f t="shared" si="61"/>
        <v>44991</v>
      </c>
      <c r="N339" t="str">
        <f t="shared" ca="1" si="62"/>
        <v>Net 30</v>
      </c>
      <c r="O339">
        <f t="shared" ca="1" si="63"/>
        <v>30</v>
      </c>
      <c r="P339" s="1">
        <f t="shared" ca="1" si="64"/>
        <v>45021</v>
      </c>
      <c r="Q339" s="1">
        <f t="shared" ca="1" si="65"/>
        <v>45029</v>
      </c>
      <c r="R339">
        <f t="shared" ca="1" si="66"/>
        <v>38</v>
      </c>
      <c r="S339" t="str">
        <f t="shared" ca="1" si="67"/>
        <v>Late</v>
      </c>
      <c r="T339" t="str">
        <f t="shared" ca="1" si="68"/>
        <v>31-60</v>
      </c>
      <c r="U339">
        <f t="shared" ca="1" si="69"/>
        <v>8</v>
      </c>
      <c r="V339" t="str">
        <f t="shared" ca="1" si="70"/>
        <v>Inefficient</v>
      </c>
      <c r="W339">
        <f t="shared" si="71"/>
        <v>72031.649999999994</v>
      </c>
    </row>
    <row r="340" spans="1:23" x14ac:dyDescent="0.35">
      <c r="A340" t="s">
        <v>365</v>
      </c>
      <c r="B340" t="s">
        <v>17</v>
      </c>
      <c r="C340" s="1">
        <v>44684</v>
      </c>
      <c r="D340" s="1">
        <v>44688</v>
      </c>
      <c r="E340" t="s">
        <v>26</v>
      </c>
      <c r="F340" t="s">
        <v>35</v>
      </c>
      <c r="G340">
        <v>600</v>
      </c>
      <c r="H340">
        <v>60.1</v>
      </c>
      <c r="I340">
        <v>57.92</v>
      </c>
      <c r="J340">
        <v>95</v>
      </c>
      <c r="K340">
        <f t="shared" si="60"/>
        <v>505</v>
      </c>
      <c r="L340" t="s">
        <v>27</v>
      </c>
      <c r="M340" s="1">
        <f t="shared" si="61"/>
        <v>44688</v>
      </c>
      <c r="N340" t="str">
        <f t="shared" ca="1" si="62"/>
        <v>Net 30</v>
      </c>
      <c r="O340">
        <f t="shared" ca="1" si="63"/>
        <v>30</v>
      </c>
      <c r="P340" s="1">
        <f t="shared" ca="1" si="64"/>
        <v>44718</v>
      </c>
      <c r="Q340" s="1">
        <f t="shared" ca="1" si="65"/>
        <v>44729</v>
      </c>
      <c r="R340">
        <f t="shared" ca="1" si="66"/>
        <v>41</v>
      </c>
      <c r="S340" t="str">
        <f t="shared" ca="1" si="67"/>
        <v>Late</v>
      </c>
      <c r="T340" t="str">
        <f t="shared" ca="1" si="68"/>
        <v>31-60</v>
      </c>
      <c r="U340">
        <f t="shared" ca="1" si="69"/>
        <v>11</v>
      </c>
      <c r="V340" t="str">
        <f t="shared" ca="1" si="70"/>
        <v>Inefficient</v>
      </c>
      <c r="W340">
        <f t="shared" si="71"/>
        <v>34752</v>
      </c>
    </row>
    <row r="341" spans="1:23" x14ac:dyDescent="0.35">
      <c r="A341" t="s">
        <v>366</v>
      </c>
      <c r="B341" t="s">
        <v>12</v>
      </c>
      <c r="C341" s="1">
        <v>45145</v>
      </c>
      <c r="D341" s="1">
        <v>45163</v>
      </c>
      <c r="E341" t="s">
        <v>39</v>
      </c>
      <c r="F341" t="s">
        <v>35</v>
      </c>
      <c r="G341">
        <v>387</v>
      </c>
      <c r="H341">
        <v>100.28</v>
      </c>
      <c r="I341">
        <v>85.54</v>
      </c>
      <c r="J341">
        <v>5</v>
      </c>
      <c r="K341">
        <f t="shared" si="60"/>
        <v>382</v>
      </c>
      <c r="L341" t="s">
        <v>15</v>
      </c>
      <c r="M341" s="1">
        <f t="shared" si="61"/>
        <v>45163</v>
      </c>
      <c r="N341" t="str">
        <f t="shared" ca="1" si="62"/>
        <v>Net 15</v>
      </c>
      <c r="O341">
        <f t="shared" ca="1" si="63"/>
        <v>15</v>
      </c>
      <c r="P341" s="1">
        <f t="shared" ca="1" si="64"/>
        <v>45178</v>
      </c>
      <c r="Q341" s="1">
        <f t="shared" ca="1" si="65"/>
        <v>45196</v>
      </c>
      <c r="R341">
        <f t="shared" ca="1" si="66"/>
        <v>33</v>
      </c>
      <c r="S341" t="str">
        <f t="shared" ca="1" si="67"/>
        <v>Late</v>
      </c>
      <c r="T341" t="str">
        <f t="shared" ca="1" si="68"/>
        <v>31-60</v>
      </c>
      <c r="U341">
        <f t="shared" ca="1" si="69"/>
        <v>18</v>
      </c>
      <c r="V341" t="str">
        <f t="shared" ca="1" si="70"/>
        <v>Inefficient</v>
      </c>
      <c r="W341">
        <f t="shared" si="71"/>
        <v>33103.980000000003</v>
      </c>
    </row>
    <row r="342" spans="1:23" x14ac:dyDescent="0.35">
      <c r="A342" t="s">
        <v>367</v>
      </c>
      <c r="B342" t="s">
        <v>12</v>
      </c>
      <c r="C342" s="1">
        <v>44814</v>
      </c>
      <c r="D342" s="1">
        <v>44823</v>
      </c>
      <c r="E342" t="s">
        <v>21</v>
      </c>
      <c r="F342" t="s">
        <v>35</v>
      </c>
      <c r="G342">
        <v>921</v>
      </c>
      <c r="H342">
        <v>68.83</v>
      </c>
      <c r="I342">
        <v>59.13</v>
      </c>
      <c r="J342">
        <v>22</v>
      </c>
      <c r="K342">
        <f t="shared" si="60"/>
        <v>899</v>
      </c>
      <c r="L342" t="s">
        <v>15</v>
      </c>
      <c r="M342" s="1">
        <f t="shared" si="61"/>
        <v>44823</v>
      </c>
      <c r="N342" t="str">
        <f t="shared" ca="1" si="62"/>
        <v>Net 15</v>
      </c>
      <c r="O342">
        <f t="shared" ca="1" si="63"/>
        <v>15</v>
      </c>
      <c r="P342" s="1">
        <f t="shared" ca="1" si="64"/>
        <v>44838</v>
      </c>
      <c r="Q342" s="1">
        <f t="shared" ca="1" si="65"/>
        <v>44844</v>
      </c>
      <c r="R342">
        <f t="shared" ca="1" si="66"/>
        <v>21</v>
      </c>
      <c r="S342" t="str">
        <f t="shared" ca="1" si="67"/>
        <v>Late</v>
      </c>
      <c r="T342" t="str">
        <f t="shared" ca="1" si="68"/>
        <v>0-30</v>
      </c>
      <c r="U342">
        <f t="shared" ca="1" si="69"/>
        <v>6</v>
      </c>
      <c r="V342" t="str">
        <f t="shared" ca="1" si="70"/>
        <v>Inefficient</v>
      </c>
      <c r="W342">
        <f t="shared" si="71"/>
        <v>54458.73</v>
      </c>
    </row>
    <row r="343" spans="1:23" x14ac:dyDescent="0.35">
      <c r="A343" t="s">
        <v>368</v>
      </c>
      <c r="B343" t="s">
        <v>23</v>
      </c>
      <c r="C343" s="1">
        <v>45154</v>
      </c>
      <c r="D343" s="1">
        <v>45168</v>
      </c>
      <c r="E343" t="s">
        <v>21</v>
      </c>
      <c r="F343" t="s">
        <v>18</v>
      </c>
      <c r="G343">
        <v>690</v>
      </c>
      <c r="H343">
        <v>22.47</v>
      </c>
      <c r="I343">
        <v>21.94</v>
      </c>
      <c r="J343">
        <v>77</v>
      </c>
      <c r="K343">
        <f t="shared" si="60"/>
        <v>613</v>
      </c>
      <c r="L343" t="s">
        <v>15</v>
      </c>
      <c r="M343" s="1">
        <f t="shared" si="61"/>
        <v>45168</v>
      </c>
      <c r="N343" t="str">
        <f t="shared" ca="1" si="62"/>
        <v>Net 45</v>
      </c>
      <c r="O343">
        <f t="shared" ca="1" si="63"/>
        <v>45</v>
      </c>
      <c r="P343" s="1">
        <f t="shared" ca="1" si="64"/>
        <v>45213</v>
      </c>
      <c r="Q343" s="1">
        <f t="shared" ca="1" si="65"/>
        <v>45229</v>
      </c>
      <c r="R343">
        <f t="shared" ca="1" si="66"/>
        <v>61</v>
      </c>
      <c r="S343" t="str">
        <f t="shared" ca="1" si="67"/>
        <v>Late</v>
      </c>
      <c r="T343" t="str">
        <f t="shared" ca="1" si="68"/>
        <v>61-90</v>
      </c>
      <c r="U343">
        <f t="shared" ca="1" si="69"/>
        <v>16</v>
      </c>
      <c r="V343" t="str">
        <f t="shared" ca="1" si="70"/>
        <v>Inefficient</v>
      </c>
      <c r="W343">
        <f t="shared" si="71"/>
        <v>15138.6</v>
      </c>
    </row>
    <row r="344" spans="1:23" x14ac:dyDescent="0.35">
      <c r="A344" t="s">
        <v>369</v>
      </c>
      <c r="B344" t="s">
        <v>12</v>
      </c>
      <c r="C344" s="1">
        <v>45170</v>
      </c>
      <c r="D344" s="1">
        <v>45190</v>
      </c>
      <c r="E344" t="s">
        <v>13</v>
      </c>
      <c r="F344" t="s">
        <v>14</v>
      </c>
      <c r="G344">
        <v>1852</v>
      </c>
      <c r="H344">
        <v>104.04</v>
      </c>
      <c r="I344">
        <v>94.89</v>
      </c>
      <c r="J344">
        <v>36</v>
      </c>
      <c r="K344">
        <f t="shared" si="60"/>
        <v>1816</v>
      </c>
      <c r="L344" t="s">
        <v>15</v>
      </c>
      <c r="M344" s="1">
        <f t="shared" si="61"/>
        <v>45190</v>
      </c>
      <c r="N344" t="str">
        <f t="shared" ca="1" si="62"/>
        <v>Net 15</v>
      </c>
      <c r="O344">
        <f t="shared" ca="1" si="63"/>
        <v>15</v>
      </c>
      <c r="P344" s="1">
        <f t="shared" ca="1" si="64"/>
        <v>45205</v>
      </c>
      <c r="Q344" s="1">
        <f t="shared" ca="1" si="65"/>
        <v>45224</v>
      </c>
      <c r="R344">
        <f t="shared" ca="1" si="66"/>
        <v>34</v>
      </c>
      <c r="S344" t="str">
        <f t="shared" ca="1" si="67"/>
        <v>Late</v>
      </c>
      <c r="T344" t="str">
        <f t="shared" ca="1" si="68"/>
        <v>31-60</v>
      </c>
      <c r="U344">
        <f t="shared" ca="1" si="69"/>
        <v>19</v>
      </c>
      <c r="V344" t="str">
        <f t="shared" ca="1" si="70"/>
        <v>Inefficient</v>
      </c>
      <c r="W344">
        <f t="shared" si="71"/>
        <v>175736.28</v>
      </c>
    </row>
    <row r="345" spans="1:23" x14ac:dyDescent="0.35">
      <c r="A345" t="s">
        <v>370</v>
      </c>
      <c r="B345" t="s">
        <v>17</v>
      </c>
      <c r="C345" s="1">
        <v>44602</v>
      </c>
      <c r="D345" s="1">
        <v>44620</v>
      </c>
      <c r="E345" t="s">
        <v>39</v>
      </c>
      <c r="F345" t="s">
        <v>18</v>
      </c>
      <c r="G345">
        <v>522</v>
      </c>
      <c r="H345">
        <v>66.83</v>
      </c>
      <c r="I345">
        <v>58.01</v>
      </c>
      <c r="J345">
        <v>74</v>
      </c>
      <c r="K345">
        <f t="shared" si="60"/>
        <v>448</v>
      </c>
      <c r="L345" t="s">
        <v>15</v>
      </c>
      <c r="M345" s="1">
        <f t="shared" si="61"/>
        <v>44620</v>
      </c>
      <c r="N345" t="str">
        <f t="shared" ca="1" si="62"/>
        <v>Net 30</v>
      </c>
      <c r="O345">
        <f t="shared" ca="1" si="63"/>
        <v>30</v>
      </c>
      <c r="P345" s="1">
        <f t="shared" ca="1" si="64"/>
        <v>44650</v>
      </c>
      <c r="Q345" s="1">
        <f t="shared" ca="1" si="65"/>
        <v>44646</v>
      </c>
      <c r="R345">
        <f t="shared" ca="1" si="66"/>
        <v>26</v>
      </c>
      <c r="S345" t="str">
        <f t="shared" ca="1" si="67"/>
        <v>On Time</v>
      </c>
      <c r="T345" t="str">
        <f t="shared" ca="1" si="68"/>
        <v>0-30</v>
      </c>
      <c r="U345">
        <f t="shared" ca="1" si="69"/>
        <v>0</v>
      </c>
      <c r="V345" t="str">
        <f t="shared" ca="1" si="70"/>
        <v>Efficient</v>
      </c>
      <c r="W345">
        <f t="shared" si="71"/>
        <v>30281.219999999998</v>
      </c>
    </row>
    <row r="346" spans="1:23" x14ac:dyDescent="0.35">
      <c r="A346" t="s">
        <v>371</v>
      </c>
      <c r="B346" t="s">
        <v>17</v>
      </c>
      <c r="C346" s="1">
        <v>45196</v>
      </c>
      <c r="D346" s="1">
        <v>45205</v>
      </c>
      <c r="E346" t="s">
        <v>39</v>
      </c>
      <c r="F346" t="s">
        <v>18</v>
      </c>
      <c r="G346">
        <v>200</v>
      </c>
      <c r="H346">
        <v>44.16</v>
      </c>
      <c r="I346">
        <v>43.13</v>
      </c>
      <c r="J346">
        <v>21</v>
      </c>
      <c r="K346">
        <f t="shared" si="60"/>
        <v>179</v>
      </c>
      <c r="L346" t="s">
        <v>15</v>
      </c>
      <c r="M346" s="1">
        <f t="shared" si="61"/>
        <v>45205</v>
      </c>
      <c r="N346" t="str">
        <f t="shared" ca="1" si="62"/>
        <v>Net 30</v>
      </c>
      <c r="O346">
        <f t="shared" ca="1" si="63"/>
        <v>30</v>
      </c>
      <c r="P346" s="1">
        <f t="shared" ca="1" si="64"/>
        <v>45235</v>
      </c>
      <c r="Q346" s="1">
        <f t="shared" ca="1" si="65"/>
        <v>45255</v>
      </c>
      <c r="R346">
        <f t="shared" ca="1" si="66"/>
        <v>50</v>
      </c>
      <c r="S346" t="str">
        <f t="shared" ca="1" si="67"/>
        <v>Late</v>
      </c>
      <c r="T346" t="str">
        <f t="shared" ca="1" si="68"/>
        <v>31-60</v>
      </c>
      <c r="U346">
        <f t="shared" ca="1" si="69"/>
        <v>20</v>
      </c>
      <c r="V346" t="str">
        <f t="shared" ca="1" si="70"/>
        <v>Inefficient</v>
      </c>
      <c r="W346">
        <f t="shared" si="71"/>
        <v>8626</v>
      </c>
    </row>
    <row r="347" spans="1:23" x14ac:dyDescent="0.35">
      <c r="A347" t="s">
        <v>372</v>
      </c>
      <c r="B347" t="s">
        <v>20</v>
      </c>
      <c r="C347" s="1">
        <v>44645</v>
      </c>
      <c r="D347" s="1">
        <v>44654</v>
      </c>
      <c r="E347" t="s">
        <v>24</v>
      </c>
      <c r="F347" t="s">
        <v>18</v>
      </c>
      <c r="G347">
        <v>1488</v>
      </c>
      <c r="H347">
        <v>22.76</v>
      </c>
      <c r="I347">
        <v>21.99</v>
      </c>
      <c r="K347">
        <f t="shared" si="60"/>
        <v>1488</v>
      </c>
      <c r="L347" t="s">
        <v>15</v>
      </c>
      <c r="M347" s="1">
        <f t="shared" si="61"/>
        <v>44654</v>
      </c>
      <c r="N347" t="str">
        <f t="shared" ca="1" si="62"/>
        <v>Net 45</v>
      </c>
      <c r="O347">
        <f t="shared" ca="1" si="63"/>
        <v>45</v>
      </c>
      <c r="P347" s="1">
        <f t="shared" ca="1" si="64"/>
        <v>44699</v>
      </c>
      <c r="Q347" s="1">
        <f t="shared" ca="1" si="65"/>
        <v>44702</v>
      </c>
      <c r="R347">
        <f t="shared" ca="1" si="66"/>
        <v>48</v>
      </c>
      <c r="S347" t="str">
        <f t="shared" ca="1" si="67"/>
        <v>Late</v>
      </c>
      <c r="T347" t="str">
        <f t="shared" ca="1" si="68"/>
        <v>31-60</v>
      </c>
      <c r="U347">
        <f t="shared" ca="1" si="69"/>
        <v>3</v>
      </c>
      <c r="V347" t="str">
        <f t="shared" ca="1" si="70"/>
        <v>Inefficient</v>
      </c>
      <c r="W347">
        <f t="shared" si="71"/>
        <v>32721.119999999999</v>
      </c>
    </row>
    <row r="348" spans="1:23" x14ac:dyDescent="0.35">
      <c r="A348" t="s">
        <v>373</v>
      </c>
      <c r="B348" t="s">
        <v>29</v>
      </c>
      <c r="C348" s="1">
        <v>44991</v>
      </c>
      <c r="D348" s="1">
        <v>45001</v>
      </c>
      <c r="E348" t="s">
        <v>39</v>
      </c>
      <c r="F348" t="s">
        <v>18</v>
      </c>
      <c r="G348">
        <v>1371</v>
      </c>
      <c r="H348">
        <v>87.16</v>
      </c>
      <c r="I348">
        <v>78.13</v>
      </c>
      <c r="J348">
        <v>43</v>
      </c>
      <c r="K348">
        <f t="shared" si="60"/>
        <v>1328</v>
      </c>
      <c r="L348" t="s">
        <v>15</v>
      </c>
      <c r="M348" s="1">
        <f t="shared" si="61"/>
        <v>45001</v>
      </c>
      <c r="N348" t="str">
        <f t="shared" ca="1" si="62"/>
        <v>Net 15</v>
      </c>
      <c r="O348">
        <f t="shared" ca="1" si="63"/>
        <v>15</v>
      </c>
      <c r="P348" s="1">
        <f t="shared" ca="1" si="64"/>
        <v>45016</v>
      </c>
      <c r="Q348" s="1">
        <f t="shared" ca="1" si="65"/>
        <v>45015</v>
      </c>
      <c r="R348">
        <f t="shared" ca="1" si="66"/>
        <v>14</v>
      </c>
      <c r="S348" t="str">
        <f t="shared" ca="1" si="67"/>
        <v>On Time</v>
      </c>
      <c r="T348" t="str">
        <f t="shared" ca="1" si="68"/>
        <v>0-30</v>
      </c>
      <c r="U348">
        <f t="shared" ca="1" si="69"/>
        <v>0</v>
      </c>
      <c r="V348" t="str">
        <f t="shared" ca="1" si="70"/>
        <v>Efficient</v>
      </c>
      <c r="W348">
        <f t="shared" si="71"/>
        <v>107116.23</v>
      </c>
    </row>
    <row r="349" spans="1:23" x14ac:dyDescent="0.35">
      <c r="A349" t="s">
        <v>374</v>
      </c>
      <c r="B349" t="s">
        <v>12</v>
      </c>
      <c r="C349" s="1">
        <v>45235</v>
      </c>
      <c r="E349" t="s">
        <v>13</v>
      </c>
      <c r="F349" t="s">
        <v>18</v>
      </c>
      <c r="G349">
        <v>1684</v>
      </c>
      <c r="H349">
        <v>73.05</v>
      </c>
      <c r="I349">
        <v>62.53</v>
      </c>
      <c r="K349">
        <f t="shared" si="60"/>
        <v>1684</v>
      </c>
      <c r="L349" t="s">
        <v>15</v>
      </c>
      <c r="M349" s="1">
        <f t="shared" si="61"/>
        <v>0</v>
      </c>
      <c r="N349" t="str">
        <f t="shared" ca="1" si="62"/>
        <v>Net 15</v>
      </c>
      <c r="O349">
        <f t="shared" ca="1" si="63"/>
        <v>15</v>
      </c>
      <c r="P349" s="1">
        <f t="shared" ca="1" si="64"/>
        <v>15</v>
      </c>
      <c r="Q349" s="1">
        <f t="shared" ca="1" si="65"/>
        <v>16</v>
      </c>
      <c r="R349">
        <f t="shared" ca="1" si="66"/>
        <v>16</v>
      </c>
      <c r="S349" t="str">
        <f t="shared" ca="1" si="67"/>
        <v>Late</v>
      </c>
      <c r="T349" t="str">
        <f t="shared" ca="1" si="68"/>
        <v>0-30</v>
      </c>
      <c r="U349">
        <f t="shared" ca="1" si="69"/>
        <v>1</v>
      </c>
      <c r="V349" t="str">
        <f t="shared" ca="1" si="70"/>
        <v>Inefficient</v>
      </c>
      <c r="W349">
        <f t="shared" si="71"/>
        <v>105300.52</v>
      </c>
    </row>
    <row r="350" spans="1:23" x14ac:dyDescent="0.35">
      <c r="A350" t="s">
        <v>375</v>
      </c>
      <c r="B350" t="s">
        <v>29</v>
      </c>
      <c r="C350" s="1">
        <v>45159</v>
      </c>
      <c r="D350" s="1">
        <v>45165</v>
      </c>
      <c r="E350" t="s">
        <v>39</v>
      </c>
      <c r="F350" t="s">
        <v>18</v>
      </c>
      <c r="G350">
        <v>312</v>
      </c>
      <c r="H350">
        <v>63.52</v>
      </c>
      <c r="I350">
        <v>58.09</v>
      </c>
      <c r="K350">
        <f t="shared" si="60"/>
        <v>312</v>
      </c>
      <c r="L350" t="s">
        <v>15</v>
      </c>
      <c r="M350" s="1">
        <f t="shared" si="61"/>
        <v>45165</v>
      </c>
      <c r="N350" t="str">
        <f t="shared" ca="1" si="62"/>
        <v>Net 45</v>
      </c>
      <c r="O350">
        <f t="shared" ca="1" si="63"/>
        <v>45</v>
      </c>
      <c r="P350" s="1">
        <f t="shared" ca="1" si="64"/>
        <v>45210</v>
      </c>
      <c r="Q350" s="1">
        <f t="shared" ca="1" si="65"/>
        <v>45228</v>
      </c>
      <c r="R350">
        <f t="shared" ca="1" si="66"/>
        <v>63</v>
      </c>
      <c r="S350" t="str">
        <f t="shared" ca="1" si="67"/>
        <v>Late</v>
      </c>
      <c r="T350" t="str">
        <f t="shared" ca="1" si="68"/>
        <v>61-90</v>
      </c>
      <c r="U350">
        <f t="shared" ca="1" si="69"/>
        <v>18</v>
      </c>
      <c r="V350" t="str">
        <f t="shared" ca="1" si="70"/>
        <v>Inefficient</v>
      </c>
      <c r="W350">
        <f t="shared" si="71"/>
        <v>18124.080000000002</v>
      </c>
    </row>
    <row r="351" spans="1:23" x14ac:dyDescent="0.35">
      <c r="A351" t="s">
        <v>376</v>
      </c>
      <c r="B351" t="s">
        <v>12</v>
      </c>
      <c r="C351" s="1">
        <v>45140</v>
      </c>
      <c r="D351" s="1">
        <v>45159</v>
      </c>
      <c r="E351" t="s">
        <v>24</v>
      </c>
      <c r="F351" t="s">
        <v>14</v>
      </c>
      <c r="G351">
        <v>1837</v>
      </c>
      <c r="H351">
        <v>99.04</v>
      </c>
      <c r="I351">
        <v>86.51</v>
      </c>
      <c r="J351">
        <v>39</v>
      </c>
      <c r="K351">
        <f t="shared" si="60"/>
        <v>1798</v>
      </c>
      <c r="L351" t="s">
        <v>15</v>
      </c>
      <c r="M351" s="1">
        <f t="shared" si="61"/>
        <v>45159</v>
      </c>
      <c r="N351" t="str">
        <f t="shared" ca="1" si="62"/>
        <v>Net 30</v>
      </c>
      <c r="O351">
        <f t="shared" ca="1" si="63"/>
        <v>30</v>
      </c>
      <c r="P351" s="1">
        <f t="shared" ca="1" si="64"/>
        <v>45189</v>
      </c>
      <c r="Q351" s="1">
        <f t="shared" ca="1" si="65"/>
        <v>45197</v>
      </c>
      <c r="R351">
        <f t="shared" ca="1" si="66"/>
        <v>38</v>
      </c>
      <c r="S351" t="str">
        <f t="shared" ca="1" si="67"/>
        <v>Late</v>
      </c>
      <c r="T351" t="str">
        <f t="shared" ca="1" si="68"/>
        <v>31-60</v>
      </c>
      <c r="U351">
        <f t="shared" ca="1" si="69"/>
        <v>8</v>
      </c>
      <c r="V351" t="str">
        <f t="shared" ca="1" si="70"/>
        <v>Inefficient</v>
      </c>
      <c r="W351">
        <f t="shared" si="71"/>
        <v>158918.87</v>
      </c>
    </row>
    <row r="352" spans="1:23" x14ac:dyDescent="0.35">
      <c r="A352" t="s">
        <v>377</v>
      </c>
      <c r="B352" t="s">
        <v>23</v>
      </c>
      <c r="C352" s="1">
        <v>45097</v>
      </c>
      <c r="D352" s="1">
        <v>45100</v>
      </c>
      <c r="E352" t="s">
        <v>21</v>
      </c>
      <c r="F352" t="s">
        <v>18</v>
      </c>
      <c r="G352">
        <v>193</v>
      </c>
      <c r="H352">
        <v>87.86</v>
      </c>
      <c r="I352">
        <v>81.739999999999995</v>
      </c>
      <c r="J352">
        <v>21</v>
      </c>
      <c r="K352">
        <f t="shared" si="60"/>
        <v>172</v>
      </c>
      <c r="L352" t="s">
        <v>15</v>
      </c>
      <c r="M352" s="1">
        <f t="shared" si="61"/>
        <v>45100</v>
      </c>
      <c r="N352" t="str">
        <f t="shared" ca="1" si="62"/>
        <v>Net 30</v>
      </c>
      <c r="O352">
        <f t="shared" ca="1" si="63"/>
        <v>30</v>
      </c>
      <c r="P352" s="1">
        <f t="shared" ca="1" si="64"/>
        <v>45130</v>
      </c>
      <c r="Q352" s="1">
        <f t="shared" ca="1" si="65"/>
        <v>45147</v>
      </c>
      <c r="R352">
        <f t="shared" ca="1" si="66"/>
        <v>47</v>
      </c>
      <c r="S352" t="str">
        <f t="shared" ca="1" si="67"/>
        <v>Late</v>
      </c>
      <c r="T352" t="str">
        <f t="shared" ca="1" si="68"/>
        <v>31-60</v>
      </c>
      <c r="U352">
        <f t="shared" ca="1" si="69"/>
        <v>17</v>
      </c>
      <c r="V352" t="str">
        <f t="shared" ca="1" si="70"/>
        <v>Inefficient</v>
      </c>
      <c r="W352">
        <f t="shared" si="71"/>
        <v>15775.82</v>
      </c>
    </row>
    <row r="353" spans="1:23" x14ac:dyDescent="0.35">
      <c r="A353" t="s">
        <v>378</v>
      </c>
      <c r="B353" t="s">
        <v>23</v>
      </c>
      <c r="C353" s="1">
        <v>44885</v>
      </c>
      <c r="D353" s="1">
        <v>44886</v>
      </c>
      <c r="E353" t="s">
        <v>39</v>
      </c>
      <c r="F353" t="s">
        <v>18</v>
      </c>
      <c r="G353">
        <v>395</v>
      </c>
      <c r="H353">
        <v>24.83</v>
      </c>
      <c r="I353">
        <v>23.96</v>
      </c>
      <c r="J353">
        <v>31</v>
      </c>
      <c r="K353">
        <f t="shared" si="60"/>
        <v>364</v>
      </c>
      <c r="L353" t="s">
        <v>15</v>
      </c>
      <c r="M353" s="1">
        <f t="shared" si="61"/>
        <v>44886</v>
      </c>
      <c r="N353" t="str">
        <f t="shared" ca="1" si="62"/>
        <v>Net 45</v>
      </c>
      <c r="O353">
        <f t="shared" ca="1" si="63"/>
        <v>45</v>
      </c>
      <c r="P353" s="1">
        <f t="shared" ca="1" si="64"/>
        <v>44931</v>
      </c>
      <c r="Q353" s="1">
        <f t="shared" ca="1" si="65"/>
        <v>44936</v>
      </c>
      <c r="R353">
        <f t="shared" ca="1" si="66"/>
        <v>50</v>
      </c>
      <c r="S353" t="str">
        <f t="shared" ca="1" si="67"/>
        <v>Late</v>
      </c>
      <c r="T353" t="str">
        <f t="shared" ca="1" si="68"/>
        <v>31-60</v>
      </c>
      <c r="U353">
        <f t="shared" ca="1" si="69"/>
        <v>5</v>
      </c>
      <c r="V353" t="str">
        <f t="shared" ca="1" si="70"/>
        <v>Inefficient</v>
      </c>
      <c r="W353">
        <f t="shared" si="71"/>
        <v>9464.2000000000007</v>
      </c>
    </row>
    <row r="354" spans="1:23" x14ac:dyDescent="0.35">
      <c r="A354" t="s">
        <v>379</v>
      </c>
      <c r="B354" t="s">
        <v>29</v>
      </c>
      <c r="C354" s="1">
        <v>44829</v>
      </c>
      <c r="D354" s="1">
        <v>44846</v>
      </c>
      <c r="E354" t="s">
        <v>39</v>
      </c>
      <c r="F354" t="s">
        <v>14</v>
      </c>
      <c r="G354">
        <v>673</v>
      </c>
      <c r="H354">
        <v>39.58</v>
      </c>
      <c r="I354">
        <v>35.83</v>
      </c>
      <c r="J354">
        <v>25</v>
      </c>
      <c r="K354">
        <f t="shared" si="60"/>
        <v>648</v>
      </c>
      <c r="L354" t="s">
        <v>15</v>
      </c>
      <c r="M354" s="1">
        <f t="shared" si="61"/>
        <v>44846</v>
      </c>
      <c r="N354" t="str">
        <f t="shared" ca="1" si="62"/>
        <v>Net 45</v>
      </c>
      <c r="O354">
        <f t="shared" ca="1" si="63"/>
        <v>45</v>
      </c>
      <c r="P354" s="1">
        <f t="shared" ca="1" si="64"/>
        <v>44891</v>
      </c>
      <c r="Q354" s="1">
        <f t="shared" ca="1" si="65"/>
        <v>44889</v>
      </c>
      <c r="R354">
        <f t="shared" ca="1" si="66"/>
        <v>43</v>
      </c>
      <c r="S354" t="str">
        <f t="shared" ca="1" si="67"/>
        <v>On Time</v>
      </c>
      <c r="T354" t="str">
        <f t="shared" ca="1" si="68"/>
        <v>31-60</v>
      </c>
      <c r="U354">
        <f t="shared" ca="1" si="69"/>
        <v>0</v>
      </c>
      <c r="V354" t="str">
        <f t="shared" ca="1" si="70"/>
        <v>Efficient</v>
      </c>
      <c r="W354">
        <f t="shared" si="71"/>
        <v>24113.59</v>
      </c>
    </row>
    <row r="355" spans="1:23" x14ac:dyDescent="0.35">
      <c r="A355" t="s">
        <v>380</v>
      </c>
      <c r="B355" t="s">
        <v>17</v>
      </c>
      <c r="C355" s="1">
        <v>44771</v>
      </c>
      <c r="D355" s="1">
        <v>44785</v>
      </c>
      <c r="E355" t="s">
        <v>13</v>
      </c>
      <c r="F355" t="s">
        <v>14</v>
      </c>
      <c r="G355">
        <v>1066</v>
      </c>
      <c r="H355">
        <v>33.33</v>
      </c>
      <c r="I355">
        <v>28.47</v>
      </c>
      <c r="J355">
        <v>162</v>
      </c>
      <c r="K355">
        <f t="shared" si="60"/>
        <v>904</v>
      </c>
      <c r="L355" t="s">
        <v>27</v>
      </c>
      <c r="M355" s="1">
        <f t="shared" si="61"/>
        <v>44785</v>
      </c>
      <c r="N355" t="str">
        <f t="shared" ca="1" si="62"/>
        <v>Net 15</v>
      </c>
      <c r="O355">
        <f t="shared" ca="1" si="63"/>
        <v>15</v>
      </c>
      <c r="P355" s="1">
        <f t="shared" ca="1" si="64"/>
        <v>44800</v>
      </c>
      <c r="Q355" s="1">
        <f t="shared" ca="1" si="65"/>
        <v>44818</v>
      </c>
      <c r="R355">
        <f t="shared" ca="1" si="66"/>
        <v>33</v>
      </c>
      <c r="S355" t="str">
        <f t="shared" ca="1" si="67"/>
        <v>Late</v>
      </c>
      <c r="T355" t="str">
        <f t="shared" ca="1" si="68"/>
        <v>31-60</v>
      </c>
      <c r="U355">
        <f t="shared" ca="1" si="69"/>
        <v>18</v>
      </c>
      <c r="V355" t="str">
        <f t="shared" ca="1" si="70"/>
        <v>Inefficient</v>
      </c>
      <c r="W355">
        <f t="shared" si="71"/>
        <v>30349.02</v>
      </c>
    </row>
    <row r="356" spans="1:23" x14ac:dyDescent="0.35">
      <c r="A356" t="s">
        <v>381</v>
      </c>
      <c r="B356" t="s">
        <v>20</v>
      </c>
      <c r="C356" s="1">
        <v>45247</v>
      </c>
      <c r="D356" s="1">
        <v>45253</v>
      </c>
      <c r="E356" t="s">
        <v>24</v>
      </c>
      <c r="F356" t="s">
        <v>18</v>
      </c>
      <c r="G356">
        <v>1645</v>
      </c>
      <c r="H356">
        <v>85.42</v>
      </c>
      <c r="I356">
        <v>80.78</v>
      </c>
      <c r="J356">
        <v>73</v>
      </c>
      <c r="K356">
        <f t="shared" si="60"/>
        <v>1572</v>
      </c>
      <c r="L356" t="s">
        <v>27</v>
      </c>
      <c r="M356" s="1">
        <f t="shared" si="61"/>
        <v>45253</v>
      </c>
      <c r="N356" t="str">
        <f t="shared" ca="1" si="62"/>
        <v>Net 15</v>
      </c>
      <c r="O356">
        <f t="shared" ca="1" si="63"/>
        <v>15</v>
      </c>
      <c r="P356" s="1">
        <f t="shared" ca="1" si="64"/>
        <v>45268</v>
      </c>
      <c r="Q356" s="1">
        <f t="shared" ca="1" si="65"/>
        <v>45275</v>
      </c>
      <c r="R356">
        <f t="shared" ca="1" si="66"/>
        <v>22</v>
      </c>
      <c r="S356" t="str">
        <f t="shared" ca="1" si="67"/>
        <v>Late</v>
      </c>
      <c r="T356" t="str">
        <f t="shared" ca="1" si="68"/>
        <v>0-30</v>
      </c>
      <c r="U356">
        <f t="shared" ca="1" si="69"/>
        <v>7</v>
      </c>
      <c r="V356" t="str">
        <f t="shared" ca="1" si="70"/>
        <v>Inefficient</v>
      </c>
      <c r="W356">
        <f t="shared" si="71"/>
        <v>132883.1</v>
      </c>
    </row>
    <row r="357" spans="1:23" x14ac:dyDescent="0.35">
      <c r="A357" t="s">
        <v>382</v>
      </c>
      <c r="B357" t="s">
        <v>12</v>
      </c>
      <c r="C357" s="1">
        <v>44883</v>
      </c>
      <c r="D357" s="1">
        <v>44894</v>
      </c>
      <c r="E357" t="s">
        <v>39</v>
      </c>
      <c r="F357" t="s">
        <v>18</v>
      </c>
      <c r="G357">
        <v>930</v>
      </c>
      <c r="H357">
        <v>13.67</v>
      </c>
      <c r="I357">
        <v>11.95</v>
      </c>
      <c r="J357">
        <v>16</v>
      </c>
      <c r="K357">
        <f t="shared" si="60"/>
        <v>914</v>
      </c>
      <c r="L357" t="s">
        <v>15</v>
      </c>
      <c r="M357" s="1">
        <f t="shared" si="61"/>
        <v>44894</v>
      </c>
      <c r="N357" t="str">
        <f t="shared" ca="1" si="62"/>
        <v>Net 15</v>
      </c>
      <c r="O357">
        <f t="shared" ca="1" si="63"/>
        <v>15</v>
      </c>
      <c r="P357" s="1">
        <f t="shared" ca="1" si="64"/>
        <v>44909</v>
      </c>
      <c r="Q357" s="1">
        <f t="shared" ca="1" si="65"/>
        <v>44909</v>
      </c>
      <c r="R357">
        <f t="shared" ca="1" si="66"/>
        <v>15</v>
      </c>
      <c r="S357" t="str">
        <f t="shared" ca="1" si="67"/>
        <v>On Time</v>
      </c>
      <c r="T357" t="str">
        <f t="shared" ca="1" si="68"/>
        <v>0-30</v>
      </c>
      <c r="U357">
        <f t="shared" ca="1" si="69"/>
        <v>0</v>
      </c>
      <c r="V357" t="str">
        <f t="shared" ca="1" si="70"/>
        <v>Efficient</v>
      </c>
      <c r="W357">
        <f t="shared" si="71"/>
        <v>11113.5</v>
      </c>
    </row>
    <row r="358" spans="1:23" x14ac:dyDescent="0.35">
      <c r="A358" t="s">
        <v>383</v>
      </c>
      <c r="B358" t="s">
        <v>12</v>
      </c>
      <c r="C358" s="1">
        <v>44806</v>
      </c>
      <c r="D358" s="1">
        <v>44825</v>
      </c>
      <c r="E358" t="s">
        <v>13</v>
      </c>
      <c r="F358" t="s">
        <v>18</v>
      </c>
      <c r="G358">
        <v>51</v>
      </c>
      <c r="H358">
        <v>63.74</v>
      </c>
      <c r="I358">
        <v>56.1</v>
      </c>
      <c r="J358">
        <v>0</v>
      </c>
      <c r="K358">
        <f t="shared" si="60"/>
        <v>51</v>
      </c>
      <c r="L358" t="s">
        <v>15</v>
      </c>
      <c r="M358" s="1">
        <f t="shared" si="61"/>
        <v>44825</v>
      </c>
      <c r="N358" t="str">
        <f t="shared" ca="1" si="62"/>
        <v>Net 30</v>
      </c>
      <c r="O358">
        <f t="shared" ca="1" si="63"/>
        <v>30</v>
      </c>
      <c r="P358" s="1">
        <f t="shared" ca="1" si="64"/>
        <v>44855</v>
      </c>
      <c r="Q358" s="1">
        <f t="shared" ca="1" si="65"/>
        <v>44855</v>
      </c>
      <c r="R358">
        <f t="shared" ca="1" si="66"/>
        <v>30</v>
      </c>
      <c r="S358" t="str">
        <f t="shared" ca="1" si="67"/>
        <v>On Time</v>
      </c>
      <c r="T358" t="str">
        <f t="shared" ca="1" si="68"/>
        <v>0-30</v>
      </c>
      <c r="U358">
        <f t="shared" ca="1" si="69"/>
        <v>0</v>
      </c>
      <c r="V358" t="str">
        <f t="shared" ca="1" si="70"/>
        <v>Efficient</v>
      </c>
      <c r="W358">
        <f t="shared" si="71"/>
        <v>2861.1</v>
      </c>
    </row>
    <row r="359" spans="1:23" x14ac:dyDescent="0.35">
      <c r="A359" t="s">
        <v>384</v>
      </c>
      <c r="B359" t="s">
        <v>20</v>
      </c>
      <c r="C359" s="1">
        <v>44833</v>
      </c>
      <c r="D359" s="1">
        <v>44835</v>
      </c>
      <c r="E359" t="s">
        <v>24</v>
      </c>
      <c r="F359" t="s">
        <v>18</v>
      </c>
      <c r="G359">
        <v>946</v>
      </c>
      <c r="H359">
        <v>81.77</v>
      </c>
      <c r="I359">
        <v>71.650000000000006</v>
      </c>
      <c r="J359">
        <v>55</v>
      </c>
      <c r="K359">
        <f t="shared" si="60"/>
        <v>891</v>
      </c>
      <c r="L359" t="s">
        <v>15</v>
      </c>
      <c r="M359" s="1">
        <f t="shared" si="61"/>
        <v>44835</v>
      </c>
      <c r="N359" t="str">
        <f t="shared" ca="1" si="62"/>
        <v>Net 30</v>
      </c>
      <c r="O359">
        <f t="shared" ca="1" si="63"/>
        <v>30</v>
      </c>
      <c r="P359" s="1">
        <f t="shared" ca="1" si="64"/>
        <v>44865</v>
      </c>
      <c r="Q359" s="1">
        <f t="shared" ca="1" si="65"/>
        <v>44881</v>
      </c>
      <c r="R359">
        <f t="shared" ca="1" si="66"/>
        <v>46</v>
      </c>
      <c r="S359" t="str">
        <f t="shared" ca="1" si="67"/>
        <v>Late</v>
      </c>
      <c r="T359" t="str">
        <f t="shared" ca="1" si="68"/>
        <v>31-60</v>
      </c>
      <c r="U359">
        <f t="shared" ca="1" si="69"/>
        <v>16</v>
      </c>
      <c r="V359" t="str">
        <f t="shared" ca="1" si="70"/>
        <v>Inefficient</v>
      </c>
      <c r="W359">
        <f t="shared" si="71"/>
        <v>67780.900000000009</v>
      </c>
    </row>
    <row r="360" spans="1:23" x14ac:dyDescent="0.35">
      <c r="A360" t="s">
        <v>385</v>
      </c>
      <c r="B360" t="s">
        <v>29</v>
      </c>
      <c r="C360" s="1">
        <v>44967</v>
      </c>
      <c r="D360" s="1">
        <v>44987</v>
      </c>
      <c r="E360" t="s">
        <v>26</v>
      </c>
      <c r="F360" t="s">
        <v>33</v>
      </c>
      <c r="G360">
        <v>1377</v>
      </c>
      <c r="H360">
        <v>94.69</v>
      </c>
      <c r="I360">
        <v>84.2</v>
      </c>
      <c r="K360">
        <f t="shared" si="60"/>
        <v>1377</v>
      </c>
      <c r="L360" t="s">
        <v>15</v>
      </c>
      <c r="M360" s="1">
        <f t="shared" si="61"/>
        <v>44987</v>
      </c>
      <c r="N360" t="str">
        <f t="shared" ca="1" si="62"/>
        <v>Net 45</v>
      </c>
      <c r="O360">
        <f t="shared" ca="1" si="63"/>
        <v>45</v>
      </c>
      <c r="P360" s="1">
        <f t="shared" ca="1" si="64"/>
        <v>45032</v>
      </c>
      <c r="Q360" s="1">
        <f t="shared" ca="1" si="65"/>
        <v>45035</v>
      </c>
      <c r="R360">
        <f t="shared" ca="1" si="66"/>
        <v>48</v>
      </c>
      <c r="S360" t="str">
        <f t="shared" ca="1" si="67"/>
        <v>Late</v>
      </c>
      <c r="T360" t="str">
        <f t="shared" ca="1" si="68"/>
        <v>31-60</v>
      </c>
      <c r="U360">
        <f t="shared" ca="1" si="69"/>
        <v>3</v>
      </c>
      <c r="V360" t="str">
        <f t="shared" ca="1" si="70"/>
        <v>Inefficient</v>
      </c>
      <c r="W360">
        <f t="shared" si="71"/>
        <v>115943.40000000001</v>
      </c>
    </row>
    <row r="361" spans="1:23" x14ac:dyDescent="0.35">
      <c r="A361" t="s">
        <v>386</v>
      </c>
      <c r="B361" t="s">
        <v>29</v>
      </c>
      <c r="C361" s="1">
        <v>44696</v>
      </c>
      <c r="D361" s="1">
        <v>44699</v>
      </c>
      <c r="E361" t="s">
        <v>24</v>
      </c>
      <c r="F361" t="s">
        <v>14</v>
      </c>
      <c r="G361">
        <v>303</v>
      </c>
      <c r="H361">
        <v>41.6</v>
      </c>
      <c r="I361">
        <v>40.51</v>
      </c>
      <c r="J361">
        <v>11</v>
      </c>
      <c r="K361">
        <f t="shared" si="60"/>
        <v>292</v>
      </c>
      <c r="L361" t="s">
        <v>15</v>
      </c>
      <c r="M361" s="1">
        <f t="shared" si="61"/>
        <v>44699</v>
      </c>
      <c r="N361" t="str">
        <f t="shared" ca="1" si="62"/>
        <v>Net 15</v>
      </c>
      <c r="O361">
        <f t="shared" ca="1" si="63"/>
        <v>15</v>
      </c>
      <c r="P361" s="1">
        <f t="shared" ca="1" si="64"/>
        <v>44714</v>
      </c>
      <c r="Q361" s="1">
        <f t="shared" ca="1" si="65"/>
        <v>44716</v>
      </c>
      <c r="R361">
        <f t="shared" ca="1" si="66"/>
        <v>17</v>
      </c>
      <c r="S361" t="str">
        <f t="shared" ca="1" si="67"/>
        <v>Late</v>
      </c>
      <c r="T361" t="str">
        <f t="shared" ca="1" si="68"/>
        <v>0-30</v>
      </c>
      <c r="U361">
        <f t="shared" ca="1" si="69"/>
        <v>2</v>
      </c>
      <c r="V361" t="str">
        <f t="shared" ca="1" si="70"/>
        <v>Inefficient</v>
      </c>
      <c r="W361">
        <f t="shared" si="71"/>
        <v>12274.529999999999</v>
      </c>
    </row>
    <row r="362" spans="1:23" x14ac:dyDescent="0.35">
      <c r="A362" t="s">
        <v>387</v>
      </c>
      <c r="B362" t="s">
        <v>12</v>
      </c>
      <c r="C362" s="1">
        <v>45249</v>
      </c>
      <c r="D362" s="1">
        <v>45263</v>
      </c>
      <c r="E362" t="s">
        <v>26</v>
      </c>
      <c r="F362" t="s">
        <v>18</v>
      </c>
      <c r="G362">
        <v>1725</v>
      </c>
      <c r="H362">
        <v>93.14</v>
      </c>
      <c r="I362">
        <v>79.62</v>
      </c>
      <c r="J362">
        <v>24</v>
      </c>
      <c r="K362">
        <f t="shared" si="60"/>
        <v>1701</v>
      </c>
      <c r="L362" t="s">
        <v>15</v>
      </c>
      <c r="M362" s="1">
        <f t="shared" si="61"/>
        <v>45263</v>
      </c>
      <c r="N362" t="str">
        <f t="shared" ca="1" si="62"/>
        <v>Net 30</v>
      </c>
      <c r="O362">
        <f t="shared" ca="1" si="63"/>
        <v>30</v>
      </c>
      <c r="P362" s="1">
        <f t="shared" ca="1" si="64"/>
        <v>45293</v>
      </c>
      <c r="Q362" s="1">
        <f t="shared" ca="1" si="65"/>
        <v>45308</v>
      </c>
      <c r="R362">
        <f t="shared" ca="1" si="66"/>
        <v>45</v>
      </c>
      <c r="S362" t="str">
        <f t="shared" ca="1" si="67"/>
        <v>Late</v>
      </c>
      <c r="T362" t="str">
        <f t="shared" ca="1" si="68"/>
        <v>31-60</v>
      </c>
      <c r="U362">
        <f t="shared" ca="1" si="69"/>
        <v>15</v>
      </c>
      <c r="V362" t="str">
        <f t="shared" ca="1" si="70"/>
        <v>Inefficient</v>
      </c>
      <c r="W362">
        <f t="shared" si="71"/>
        <v>137344.5</v>
      </c>
    </row>
    <row r="363" spans="1:23" x14ac:dyDescent="0.35">
      <c r="A363" t="s">
        <v>388</v>
      </c>
      <c r="B363" t="s">
        <v>23</v>
      </c>
      <c r="C363" s="1">
        <v>45222</v>
      </c>
      <c r="D363" s="1">
        <v>45237</v>
      </c>
      <c r="E363" t="s">
        <v>26</v>
      </c>
      <c r="F363" t="s">
        <v>14</v>
      </c>
      <c r="G363">
        <v>502</v>
      </c>
      <c r="H363">
        <v>22.05</v>
      </c>
      <c r="I363">
        <v>20.65</v>
      </c>
      <c r="J363">
        <v>50</v>
      </c>
      <c r="K363">
        <f t="shared" si="60"/>
        <v>452</v>
      </c>
      <c r="L363" t="s">
        <v>27</v>
      </c>
      <c r="M363" s="1">
        <f t="shared" si="61"/>
        <v>45237</v>
      </c>
      <c r="N363" t="str">
        <f t="shared" ca="1" si="62"/>
        <v>Net 15</v>
      </c>
      <c r="O363">
        <f t="shared" ca="1" si="63"/>
        <v>15</v>
      </c>
      <c r="P363" s="1">
        <f t="shared" ca="1" si="64"/>
        <v>45252</v>
      </c>
      <c r="Q363" s="1">
        <f t="shared" ca="1" si="65"/>
        <v>45264</v>
      </c>
      <c r="R363">
        <f t="shared" ca="1" si="66"/>
        <v>27</v>
      </c>
      <c r="S363" t="str">
        <f t="shared" ca="1" si="67"/>
        <v>Late</v>
      </c>
      <c r="T363" t="str">
        <f t="shared" ca="1" si="68"/>
        <v>0-30</v>
      </c>
      <c r="U363">
        <f t="shared" ca="1" si="69"/>
        <v>12</v>
      </c>
      <c r="V363" t="str">
        <f t="shared" ca="1" si="70"/>
        <v>Inefficient</v>
      </c>
      <c r="W363">
        <f t="shared" si="71"/>
        <v>10366.299999999999</v>
      </c>
    </row>
    <row r="364" spans="1:23" x14ac:dyDescent="0.35">
      <c r="A364" t="s">
        <v>389</v>
      </c>
      <c r="B364" t="s">
        <v>20</v>
      </c>
      <c r="C364" s="1">
        <v>44869</v>
      </c>
      <c r="D364" s="1">
        <v>44876</v>
      </c>
      <c r="E364" t="s">
        <v>24</v>
      </c>
      <c r="F364" t="s">
        <v>18</v>
      </c>
      <c r="G364">
        <v>1110</v>
      </c>
      <c r="H364">
        <v>90.49</v>
      </c>
      <c r="I364">
        <v>80.03</v>
      </c>
      <c r="J364">
        <v>61</v>
      </c>
      <c r="K364">
        <f t="shared" si="60"/>
        <v>1049</v>
      </c>
      <c r="L364" t="s">
        <v>15</v>
      </c>
      <c r="M364" s="1">
        <f t="shared" si="61"/>
        <v>44876</v>
      </c>
      <c r="N364" t="str">
        <f t="shared" ca="1" si="62"/>
        <v>Net 15</v>
      </c>
      <c r="O364">
        <f t="shared" ca="1" si="63"/>
        <v>15</v>
      </c>
      <c r="P364" s="1">
        <f t="shared" ca="1" si="64"/>
        <v>44891</v>
      </c>
      <c r="Q364" s="1">
        <f t="shared" ca="1" si="65"/>
        <v>44901</v>
      </c>
      <c r="R364">
        <f t="shared" ca="1" si="66"/>
        <v>25</v>
      </c>
      <c r="S364" t="str">
        <f t="shared" ca="1" si="67"/>
        <v>Late</v>
      </c>
      <c r="T364" t="str">
        <f t="shared" ca="1" si="68"/>
        <v>0-30</v>
      </c>
      <c r="U364">
        <f t="shared" ca="1" si="69"/>
        <v>10</v>
      </c>
      <c r="V364" t="str">
        <f t="shared" ca="1" si="70"/>
        <v>Inefficient</v>
      </c>
      <c r="W364">
        <f t="shared" si="71"/>
        <v>88833.3</v>
      </c>
    </row>
    <row r="365" spans="1:23" x14ac:dyDescent="0.35">
      <c r="A365" t="s">
        <v>390</v>
      </c>
      <c r="B365" t="s">
        <v>12</v>
      </c>
      <c r="C365" s="1">
        <v>45030</v>
      </c>
      <c r="D365" s="1">
        <v>45034</v>
      </c>
      <c r="E365" t="s">
        <v>24</v>
      </c>
      <c r="F365" t="s">
        <v>18</v>
      </c>
      <c r="G365">
        <v>1233</v>
      </c>
      <c r="H365">
        <v>23.08</v>
      </c>
      <c r="I365">
        <v>20.57</v>
      </c>
      <c r="K365">
        <f t="shared" si="60"/>
        <v>1233</v>
      </c>
      <c r="L365" t="s">
        <v>15</v>
      </c>
      <c r="M365" s="1">
        <f t="shared" si="61"/>
        <v>45034</v>
      </c>
      <c r="N365" t="str">
        <f t="shared" ca="1" si="62"/>
        <v>Net 30</v>
      </c>
      <c r="O365">
        <f t="shared" ca="1" si="63"/>
        <v>30</v>
      </c>
      <c r="P365" s="1">
        <f t="shared" ca="1" si="64"/>
        <v>45064</v>
      </c>
      <c r="Q365" s="1">
        <f t="shared" ca="1" si="65"/>
        <v>45062</v>
      </c>
      <c r="R365">
        <f t="shared" ca="1" si="66"/>
        <v>28</v>
      </c>
      <c r="S365" t="str">
        <f t="shared" ca="1" si="67"/>
        <v>On Time</v>
      </c>
      <c r="T365" t="str">
        <f t="shared" ca="1" si="68"/>
        <v>0-30</v>
      </c>
      <c r="U365">
        <f t="shared" ca="1" si="69"/>
        <v>0</v>
      </c>
      <c r="V365" t="str">
        <f t="shared" ca="1" si="70"/>
        <v>Efficient</v>
      </c>
      <c r="W365">
        <f t="shared" si="71"/>
        <v>25362.81</v>
      </c>
    </row>
    <row r="366" spans="1:23" x14ac:dyDescent="0.35">
      <c r="A366" t="s">
        <v>391</v>
      </c>
      <c r="B366" t="s">
        <v>23</v>
      </c>
      <c r="C366" s="1">
        <v>44885</v>
      </c>
      <c r="D366" s="1">
        <v>44889</v>
      </c>
      <c r="E366" t="s">
        <v>13</v>
      </c>
      <c r="F366" t="s">
        <v>18</v>
      </c>
      <c r="G366">
        <v>1064</v>
      </c>
      <c r="H366">
        <v>48.04</v>
      </c>
      <c r="I366">
        <v>43.6</v>
      </c>
      <c r="J366">
        <v>94</v>
      </c>
      <c r="K366">
        <f t="shared" si="60"/>
        <v>970</v>
      </c>
      <c r="L366" t="s">
        <v>15</v>
      </c>
      <c r="M366" s="1">
        <f t="shared" si="61"/>
        <v>44889</v>
      </c>
      <c r="N366" t="str">
        <f t="shared" ca="1" si="62"/>
        <v>Net 15</v>
      </c>
      <c r="O366">
        <f t="shared" ca="1" si="63"/>
        <v>15</v>
      </c>
      <c r="P366" s="1">
        <f t="shared" ca="1" si="64"/>
        <v>44904</v>
      </c>
      <c r="Q366" s="1">
        <f t="shared" ca="1" si="65"/>
        <v>44911</v>
      </c>
      <c r="R366">
        <f t="shared" ca="1" si="66"/>
        <v>22</v>
      </c>
      <c r="S366" t="str">
        <f t="shared" ca="1" si="67"/>
        <v>Late</v>
      </c>
      <c r="T366" t="str">
        <f t="shared" ca="1" si="68"/>
        <v>0-30</v>
      </c>
      <c r="U366">
        <f t="shared" ca="1" si="69"/>
        <v>7</v>
      </c>
      <c r="V366" t="str">
        <f t="shared" ca="1" si="70"/>
        <v>Inefficient</v>
      </c>
      <c r="W366">
        <f t="shared" si="71"/>
        <v>46390.400000000001</v>
      </c>
    </row>
    <row r="367" spans="1:23" x14ac:dyDescent="0.35">
      <c r="A367" t="s">
        <v>392</v>
      </c>
      <c r="B367" t="s">
        <v>29</v>
      </c>
      <c r="C367" s="1">
        <v>44636</v>
      </c>
      <c r="D367" s="1">
        <v>44655</v>
      </c>
      <c r="E367" t="s">
        <v>24</v>
      </c>
      <c r="F367" t="s">
        <v>33</v>
      </c>
      <c r="G367">
        <v>58</v>
      </c>
      <c r="H367">
        <v>82.57</v>
      </c>
      <c r="I367">
        <v>76.55</v>
      </c>
      <c r="K367">
        <f t="shared" si="60"/>
        <v>58</v>
      </c>
      <c r="L367" t="s">
        <v>15</v>
      </c>
      <c r="M367" s="1">
        <f t="shared" si="61"/>
        <v>44655</v>
      </c>
      <c r="N367" t="str">
        <f t="shared" ca="1" si="62"/>
        <v>Net 45</v>
      </c>
      <c r="O367">
        <f t="shared" ca="1" si="63"/>
        <v>45</v>
      </c>
      <c r="P367" s="1">
        <f t="shared" ca="1" si="64"/>
        <v>44700</v>
      </c>
      <c r="Q367" s="1">
        <f t="shared" ca="1" si="65"/>
        <v>44719</v>
      </c>
      <c r="R367">
        <f t="shared" ca="1" si="66"/>
        <v>64</v>
      </c>
      <c r="S367" t="str">
        <f t="shared" ca="1" si="67"/>
        <v>Late</v>
      </c>
      <c r="T367" t="str">
        <f t="shared" ca="1" si="68"/>
        <v>61-90</v>
      </c>
      <c r="U367">
        <f t="shared" ca="1" si="69"/>
        <v>19</v>
      </c>
      <c r="V367" t="str">
        <f t="shared" ca="1" si="70"/>
        <v>Inefficient</v>
      </c>
      <c r="W367">
        <f t="shared" si="71"/>
        <v>4439.8999999999996</v>
      </c>
    </row>
    <row r="368" spans="1:23" x14ac:dyDescent="0.35">
      <c r="A368" t="s">
        <v>393</v>
      </c>
      <c r="B368" t="s">
        <v>23</v>
      </c>
      <c r="C368" s="1">
        <v>44571</v>
      </c>
      <c r="D368" s="1">
        <v>44581</v>
      </c>
      <c r="E368" t="s">
        <v>21</v>
      </c>
      <c r="F368" t="s">
        <v>18</v>
      </c>
      <c r="G368">
        <v>1306</v>
      </c>
      <c r="H368">
        <v>23.49</v>
      </c>
      <c r="I368">
        <v>20.170000000000002</v>
      </c>
      <c r="J368">
        <v>116</v>
      </c>
      <c r="K368">
        <f t="shared" si="60"/>
        <v>1190</v>
      </c>
      <c r="L368" t="s">
        <v>27</v>
      </c>
      <c r="M368" s="1">
        <f t="shared" si="61"/>
        <v>44581</v>
      </c>
      <c r="N368" t="str">
        <f t="shared" ca="1" si="62"/>
        <v>Net 15</v>
      </c>
      <c r="O368">
        <f t="shared" ca="1" si="63"/>
        <v>15</v>
      </c>
      <c r="P368" s="1">
        <f t="shared" ca="1" si="64"/>
        <v>44596</v>
      </c>
      <c r="Q368" s="1">
        <f t="shared" ca="1" si="65"/>
        <v>44595</v>
      </c>
      <c r="R368">
        <f t="shared" ca="1" si="66"/>
        <v>14</v>
      </c>
      <c r="S368" t="str">
        <f t="shared" ca="1" si="67"/>
        <v>On Time</v>
      </c>
      <c r="T368" t="str">
        <f t="shared" ca="1" si="68"/>
        <v>0-30</v>
      </c>
      <c r="U368">
        <f t="shared" ca="1" si="69"/>
        <v>0</v>
      </c>
      <c r="V368" t="str">
        <f t="shared" ca="1" si="70"/>
        <v>Efficient</v>
      </c>
      <c r="W368">
        <f t="shared" si="71"/>
        <v>26342.02</v>
      </c>
    </row>
    <row r="369" spans="1:23" x14ac:dyDescent="0.35">
      <c r="A369" t="s">
        <v>394</v>
      </c>
      <c r="B369" t="s">
        <v>17</v>
      </c>
      <c r="C369" s="1">
        <v>45031</v>
      </c>
      <c r="D369" s="1">
        <v>45044</v>
      </c>
      <c r="E369" t="s">
        <v>39</v>
      </c>
      <c r="F369" t="s">
        <v>18</v>
      </c>
      <c r="G369">
        <v>1172</v>
      </c>
      <c r="H369">
        <v>32.93</v>
      </c>
      <c r="I369">
        <v>29.28</v>
      </c>
      <c r="K369">
        <f t="shared" si="60"/>
        <v>1172</v>
      </c>
      <c r="L369" t="s">
        <v>27</v>
      </c>
      <c r="M369" s="1">
        <f t="shared" si="61"/>
        <v>45044</v>
      </c>
      <c r="N369" t="str">
        <f t="shared" ca="1" si="62"/>
        <v>Net 30</v>
      </c>
      <c r="O369">
        <f t="shared" ca="1" si="63"/>
        <v>30</v>
      </c>
      <c r="P369" s="1">
        <f t="shared" ca="1" si="64"/>
        <v>45074</v>
      </c>
      <c r="Q369" s="1">
        <f t="shared" ca="1" si="65"/>
        <v>45083</v>
      </c>
      <c r="R369">
        <f t="shared" ca="1" si="66"/>
        <v>39</v>
      </c>
      <c r="S369" t="str">
        <f t="shared" ca="1" si="67"/>
        <v>Late</v>
      </c>
      <c r="T369" t="str">
        <f t="shared" ca="1" si="68"/>
        <v>31-60</v>
      </c>
      <c r="U369">
        <f t="shared" ca="1" si="69"/>
        <v>9</v>
      </c>
      <c r="V369" t="str">
        <f t="shared" ca="1" si="70"/>
        <v>Inefficient</v>
      </c>
      <c r="W369">
        <f t="shared" si="71"/>
        <v>34316.160000000003</v>
      </c>
    </row>
    <row r="370" spans="1:23" x14ac:dyDescent="0.35">
      <c r="A370" t="s">
        <v>395</v>
      </c>
      <c r="B370" t="s">
        <v>12</v>
      </c>
      <c r="C370" s="1">
        <v>45198</v>
      </c>
      <c r="E370" t="s">
        <v>24</v>
      </c>
      <c r="F370" t="s">
        <v>18</v>
      </c>
      <c r="G370">
        <v>1732</v>
      </c>
      <c r="H370">
        <v>82.5</v>
      </c>
      <c r="I370">
        <v>71.709999999999994</v>
      </c>
      <c r="J370">
        <v>24</v>
      </c>
      <c r="K370">
        <f t="shared" si="60"/>
        <v>1708</v>
      </c>
      <c r="L370" t="s">
        <v>15</v>
      </c>
      <c r="M370" s="1">
        <f t="shared" si="61"/>
        <v>0</v>
      </c>
      <c r="N370" t="str">
        <f t="shared" ca="1" si="62"/>
        <v>Net 45</v>
      </c>
      <c r="O370">
        <f t="shared" ca="1" si="63"/>
        <v>45</v>
      </c>
      <c r="P370" s="1">
        <f t="shared" ca="1" si="64"/>
        <v>45</v>
      </c>
      <c r="Q370" s="1">
        <f t="shared" ca="1" si="65"/>
        <v>43</v>
      </c>
      <c r="R370">
        <f t="shared" ca="1" si="66"/>
        <v>43</v>
      </c>
      <c r="S370" t="str">
        <f t="shared" ca="1" si="67"/>
        <v>On Time</v>
      </c>
      <c r="T370" t="str">
        <f t="shared" ca="1" si="68"/>
        <v>31-60</v>
      </c>
      <c r="U370">
        <f t="shared" ca="1" si="69"/>
        <v>0</v>
      </c>
      <c r="V370" t="str">
        <f t="shared" ca="1" si="70"/>
        <v>Efficient</v>
      </c>
      <c r="W370">
        <f t="shared" si="71"/>
        <v>124201.71999999999</v>
      </c>
    </row>
    <row r="371" spans="1:23" x14ac:dyDescent="0.35">
      <c r="A371" t="s">
        <v>396</v>
      </c>
      <c r="B371" t="s">
        <v>20</v>
      </c>
      <c r="C371" s="1">
        <v>45138</v>
      </c>
      <c r="D371" s="1">
        <v>45145</v>
      </c>
      <c r="E371" t="s">
        <v>26</v>
      </c>
      <c r="F371" t="s">
        <v>18</v>
      </c>
      <c r="G371">
        <v>865</v>
      </c>
      <c r="H371">
        <v>81.540000000000006</v>
      </c>
      <c r="I371">
        <v>71.59</v>
      </c>
      <c r="J371">
        <v>39</v>
      </c>
      <c r="K371">
        <f t="shared" si="60"/>
        <v>826</v>
      </c>
      <c r="L371" t="s">
        <v>15</v>
      </c>
      <c r="M371" s="1">
        <f t="shared" si="61"/>
        <v>45145</v>
      </c>
      <c r="N371" t="str">
        <f t="shared" ca="1" si="62"/>
        <v>Net 45</v>
      </c>
      <c r="O371">
        <f t="shared" ca="1" si="63"/>
        <v>45</v>
      </c>
      <c r="P371" s="1">
        <f t="shared" ca="1" si="64"/>
        <v>45190</v>
      </c>
      <c r="Q371" s="1">
        <f t="shared" ca="1" si="65"/>
        <v>45194</v>
      </c>
      <c r="R371">
        <f t="shared" ca="1" si="66"/>
        <v>49</v>
      </c>
      <c r="S371" t="str">
        <f t="shared" ca="1" si="67"/>
        <v>Late</v>
      </c>
      <c r="T371" t="str">
        <f t="shared" ca="1" si="68"/>
        <v>31-60</v>
      </c>
      <c r="U371">
        <f t="shared" ca="1" si="69"/>
        <v>4</v>
      </c>
      <c r="V371" t="str">
        <f t="shared" ca="1" si="70"/>
        <v>Inefficient</v>
      </c>
      <c r="W371">
        <f t="shared" si="71"/>
        <v>61925.350000000006</v>
      </c>
    </row>
    <row r="372" spans="1:23" x14ac:dyDescent="0.35">
      <c r="A372" t="s">
        <v>397</v>
      </c>
      <c r="B372" t="s">
        <v>23</v>
      </c>
      <c r="C372" s="1">
        <v>44664</v>
      </c>
      <c r="D372" s="1">
        <v>44671</v>
      </c>
      <c r="E372" t="s">
        <v>26</v>
      </c>
      <c r="F372" t="s">
        <v>18</v>
      </c>
      <c r="G372">
        <v>257</v>
      </c>
      <c r="H372">
        <v>68.72</v>
      </c>
      <c r="I372">
        <v>66.92</v>
      </c>
      <c r="J372">
        <v>22</v>
      </c>
      <c r="K372">
        <f t="shared" si="60"/>
        <v>235</v>
      </c>
      <c r="L372" t="s">
        <v>15</v>
      </c>
      <c r="M372" s="1">
        <f t="shared" si="61"/>
        <v>44671</v>
      </c>
      <c r="N372" t="str">
        <f t="shared" ca="1" si="62"/>
        <v>Net 30</v>
      </c>
      <c r="O372">
        <f t="shared" ca="1" si="63"/>
        <v>30</v>
      </c>
      <c r="P372" s="1">
        <f t="shared" ca="1" si="64"/>
        <v>44701</v>
      </c>
      <c r="Q372" s="1">
        <f t="shared" ca="1" si="65"/>
        <v>44704</v>
      </c>
      <c r="R372">
        <f t="shared" ca="1" si="66"/>
        <v>33</v>
      </c>
      <c r="S372" t="str">
        <f t="shared" ca="1" si="67"/>
        <v>Late</v>
      </c>
      <c r="T372" t="str">
        <f t="shared" ca="1" si="68"/>
        <v>31-60</v>
      </c>
      <c r="U372">
        <f t="shared" ca="1" si="69"/>
        <v>3</v>
      </c>
      <c r="V372" t="str">
        <f t="shared" ca="1" si="70"/>
        <v>Inefficient</v>
      </c>
      <c r="W372">
        <f t="shared" si="71"/>
        <v>17198.439999999999</v>
      </c>
    </row>
    <row r="373" spans="1:23" x14ac:dyDescent="0.35">
      <c r="A373" t="s">
        <v>398</v>
      </c>
      <c r="B373" t="s">
        <v>29</v>
      </c>
      <c r="C373" s="1">
        <v>44637</v>
      </c>
      <c r="D373" s="1">
        <v>44646</v>
      </c>
      <c r="E373" t="s">
        <v>24</v>
      </c>
      <c r="F373" t="s">
        <v>18</v>
      </c>
      <c r="G373">
        <v>1204</v>
      </c>
      <c r="H373">
        <v>73.180000000000007</v>
      </c>
      <c r="I373">
        <v>67.59</v>
      </c>
      <c r="J373">
        <v>31</v>
      </c>
      <c r="K373">
        <f t="shared" si="60"/>
        <v>1173</v>
      </c>
      <c r="L373" t="s">
        <v>15</v>
      </c>
      <c r="M373" s="1">
        <f t="shared" si="61"/>
        <v>44646</v>
      </c>
      <c r="N373" t="str">
        <f t="shared" ca="1" si="62"/>
        <v>Net 45</v>
      </c>
      <c r="O373">
        <f t="shared" ca="1" si="63"/>
        <v>45</v>
      </c>
      <c r="P373" s="1">
        <f t="shared" ca="1" si="64"/>
        <v>44691</v>
      </c>
      <c r="Q373" s="1">
        <f t="shared" ca="1" si="65"/>
        <v>44708</v>
      </c>
      <c r="R373">
        <f t="shared" ca="1" si="66"/>
        <v>62</v>
      </c>
      <c r="S373" t="str">
        <f t="shared" ca="1" si="67"/>
        <v>Late</v>
      </c>
      <c r="T373" t="str">
        <f t="shared" ca="1" si="68"/>
        <v>61-90</v>
      </c>
      <c r="U373">
        <f t="shared" ca="1" si="69"/>
        <v>17</v>
      </c>
      <c r="V373" t="str">
        <f t="shared" ca="1" si="70"/>
        <v>Inefficient</v>
      </c>
      <c r="W373">
        <f t="shared" si="71"/>
        <v>81378.36</v>
      </c>
    </row>
    <row r="374" spans="1:23" x14ac:dyDescent="0.35">
      <c r="A374" t="s">
        <v>399</v>
      </c>
      <c r="B374" t="s">
        <v>23</v>
      </c>
      <c r="C374" s="1">
        <v>45112</v>
      </c>
      <c r="D374" s="1">
        <v>45116</v>
      </c>
      <c r="E374" t="s">
        <v>39</v>
      </c>
      <c r="F374" t="s">
        <v>33</v>
      </c>
      <c r="G374">
        <v>453</v>
      </c>
      <c r="H374">
        <v>64.14</v>
      </c>
      <c r="I374">
        <v>60.18</v>
      </c>
      <c r="J374">
        <v>51</v>
      </c>
      <c r="K374">
        <f t="shared" si="60"/>
        <v>402</v>
      </c>
      <c r="L374" t="s">
        <v>15</v>
      </c>
      <c r="M374" s="1">
        <f t="shared" si="61"/>
        <v>45116</v>
      </c>
      <c r="N374" t="str">
        <f t="shared" ca="1" si="62"/>
        <v>Net 15</v>
      </c>
      <c r="O374">
        <f t="shared" ca="1" si="63"/>
        <v>15</v>
      </c>
      <c r="P374" s="1">
        <f t="shared" ca="1" si="64"/>
        <v>45131</v>
      </c>
      <c r="Q374" s="1">
        <f t="shared" ca="1" si="65"/>
        <v>45145</v>
      </c>
      <c r="R374">
        <f t="shared" ca="1" si="66"/>
        <v>29</v>
      </c>
      <c r="S374" t="str">
        <f t="shared" ca="1" si="67"/>
        <v>Late</v>
      </c>
      <c r="T374" t="str">
        <f t="shared" ca="1" si="68"/>
        <v>0-30</v>
      </c>
      <c r="U374">
        <f t="shared" ca="1" si="69"/>
        <v>14</v>
      </c>
      <c r="V374" t="str">
        <f t="shared" ca="1" si="70"/>
        <v>Inefficient</v>
      </c>
      <c r="W374">
        <f t="shared" si="71"/>
        <v>27261.54</v>
      </c>
    </row>
    <row r="375" spans="1:23" x14ac:dyDescent="0.35">
      <c r="A375" t="s">
        <v>400</v>
      </c>
      <c r="B375" t="s">
        <v>29</v>
      </c>
      <c r="C375" s="1">
        <v>44780</v>
      </c>
      <c r="D375" s="1">
        <v>44794</v>
      </c>
      <c r="E375" t="s">
        <v>39</v>
      </c>
      <c r="F375" t="s">
        <v>18</v>
      </c>
      <c r="G375">
        <v>201</v>
      </c>
      <c r="H375">
        <v>33.81</v>
      </c>
      <c r="I375">
        <v>32.54</v>
      </c>
      <c r="J375">
        <v>3</v>
      </c>
      <c r="K375">
        <f t="shared" si="60"/>
        <v>198</v>
      </c>
      <c r="L375" t="s">
        <v>15</v>
      </c>
      <c r="M375" s="1">
        <f t="shared" si="61"/>
        <v>44794</v>
      </c>
      <c r="N375" t="str">
        <f t="shared" ca="1" si="62"/>
        <v>Net 15</v>
      </c>
      <c r="O375">
        <f t="shared" ca="1" si="63"/>
        <v>15</v>
      </c>
      <c r="P375" s="1">
        <f t="shared" ca="1" si="64"/>
        <v>44809</v>
      </c>
      <c r="Q375" s="1">
        <f t="shared" ca="1" si="65"/>
        <v>44807</v>
      </c>
      <c r="R375">
        <f t="shared" ca="1" si="66"/>
        <v>13</v>
      </c>
      <c r="S375" t="str">
        <f t="shared" ca="1" si="67"/>
        <v>On Time</v>
      </c>
      <c r="T375" t="str">
        <f t="shared" ca="1" si="68"/>
        <v>0-30</v>
      </c>
      <c r="U375">
        <f t="shared" ca="1" si="69"/>
        <v>0</v>
      </c>
      <c r="V375" t="str">
        <f t="shared" ca="1" si="70"/>
        <v>Efficient</v>
      </c>
      <c r="W375">
        <f t="shared" si="71"/>
        <v>6540.54</v>
      </c>
    </row>
    <row r="376" spans="1:23" x14ac:dyDescent="0.35">
      <c r="A376" t="s">
        <v>401</v>
      </c>
      <c r="B376" t="s">
        <v>17</v>
      </c>
      <c r="C376" s="1">
        <v>45080</v>
      </c>
      <c r="D376" s="1">
        <v>45093</v>
      </c>
      <c r="E376" t="s">
        <v>13</v>
      </c>
      <c r="F376" t="s">
        <v>18</v>
      </c>
      <c r="G376">
        <v>103</v>
      </c>
      <c r="H376">
        <v>44.61</v>
      </c>
      <c r="I376">
        <v>42.88</v>
      </c>
      <c r="J376">
        <v>10</v>
      </c>
      <c r="K376">
        <f t="shared" si="60"/>
        <v>93</v>
      </c>
      <c r="L376" t="s">
        <v>15</v>
      </c>
      <c r="M376" s="1">
        <f t="shared" si="61"/>
        <v>45093</v>
      </c>
      <c r="N376" t="str">
        <f t="shared" ca="1" si="62"/>
        <v>Net 45</v>
      </c>
      <c r="O376">
        <f t="shared" ca="1" si="63"/>
        <v>45</v>
      </c>
      <c r="P376" s="1">
        <f t="shared" ca="1" si="64"/>
        <v>45138</v>
      </c>
      <c r="Q376" s="1">
        <f t="shared" ca="1" si="65"/>
        <v>45157</v>
      </c>
      <c r="R376">
        <f t="shared" ca="1" si="66"/>
        <v>64</v>
      </c>
      <c r="S376" t="str">
        <f t="shared" ca="1" si="67"/>
        <v>Late</v>
      </c>
      <c r="T376" t="str">
        <f t="shared" ca="1" si="68"/>
        <v>61-90</v>
      </c>
      <c r="U376">
        <f t="shared" ca="1" si="69"/>
        <v>19</v>
      </c>
      <c r="V376" t="str">
        <f t="shared" ca="1" si="70"/>
        <v>Inefficient</v>
      </c>
      <c r="W376">
        <f t="shared" si="71"/>
        <v>4416.6400000000003</v>
      </c>
    </row>
    <row r="377" spans="1:23" x14ac:dyDescent="0.35">
      <c r="A377" t="s">
        <v>402</v>
      </c>
      <c r="B377" t="s">
        <v>29</v>
      </c>
      <c r="C377" s="1">
        <v>44833</v>
      </c>
      <c r="D377" s="1">
        <v>44841</v>
      </c>
      <c r="E377" t="s">
        <v>13</v>
      </c>
      <c r="F377" t="s">
        <v>18</v>
      </c>
      <c r="G377">
        <v>1193</v>
      </c>
      <c r="H377">
        <v>27.4</v>
      </c>
      <c r="I377">
        <v>27.09</v>
      </c>
      <c r="K377">
        <f t="shared" si="60"/>
        <v>1193</v>
      </c>
      <c r="L377" t="s">
        <v>15</v>
      </c>
      <c r="M377" s="1">
        <f t="shared" si="61"/>
        <v>44841</v>
      </c>
      <c r="N377" t="str">
        <f t="shared" ca="1" si="62"/>
        <v>Net 15</v>
      </c>
      <c r="O377">
        <f t="shared" ca="1" si="63"/>
        <v>15</v>
      </c>
      <c r="P377" s="1">
        <f t="shared" ca="1" si="64"/>
        <v>44856</v>
      </c>
      <c r="Q377" s="1">
        <f t="shared" ca="1" si="65"/>
        <v>44857</v>
      </c>
      <c r="R377">
        <f t="shared" ca="1" si="66"/>
        <v>16</v>
      </c>
      <c r="S377" t="str">
        <f t="shared" ca="1" si="67"/>
        <v>Late</v>
      </c>
      <c r="T377" t="str">
        <f t="shared" ca="1" si="68"/>
        <v>0-30</v>
      </c>
      <c r="U377">
        <f t="shared" ca="1" si="69"/>
        <v>1</v>
      </c>
      <c r="V377" t="str">
        <f t="shared" ca="1" si="70"/>
        <v>Inefficient</v>
      </c>
      <c r="W377">
        <f t="shared" si="71"/>
        <v>32318.37</v>
      </c>
    </row>
    <row r="378" spans="1:23" x14ac:dyDescent="0.35">
      <c r="A378" t="s">
        <v>403</v>
      </c>
      <c r="B378" t="s">
        <v>20</v>
      </c>
      <c r="C378" s="1">
        <v>44697</v>
      </c>
      <c r="D378" s="1">
        <v>44709</v>
      </c>
      <c r="E378" t="s">
        <v>13</v>
      </c>
      <c r="F378" t="s">
        <v>33</v>
      </c>
      <c r="G378">
        <v>1746</v>
      </c>
      <c r="H378">
        <v>93.6</v>
      </c>
      <c r="I378">
        <v>89.81</v>
      </c>
      <c r="J378">
        <v>85</v>
      </c>
      <c r="K378">
        <f t="shared" si="60"/>
        <v>1661</v>
      </c>
      <c r="L378" t="s">
        <v>15</v>
      </c>
      <c r="M378" s="1">
        <f t="shared" si="61"/>
        <v>44709</v>
      </c>
      <c r="N378" t="str">
        <f t="shared" ca="1" si="62"/>
        <v>Net 45</v>
      </c>
      <c r="O378">
        <f t="shared" ca="1" si="63"/>
        <v>45</v>
      </c>
      <c r="P378" s="1">
        <f t="shared" ca="1" si="64"/>
        <v>44754</v>
      </c>
      <c r="Q378" s="1">
        <f t="shared" ca="1" si="65"/>
        <v>44763</v>
      </c>
      <c r="R378">
        <f t="shared" ca="1" si="66"/>
        <v>54</v>
      </c>
      <c r="S378" t="str">
        <f t="shared" ca="1" si="67"/>
        <v>Late</v>
      </c>
      <c r="T378" t="str">
        <f t="shared" ca="1" si="68"/>
        <v>31-60</v>
      </c>
      <c r="U378">
        <f t="shared" ca="1" si="69"/>
        <v>9</v>
      </c>
      <c r="V378" t="str">
        <f t="shared" ca="1" si="70"/>
        <v>Inefficient</v>
      </c>
      <c r="W378">
        <f t="shared" si="71"/>
        <v>156808.26</v>
      </c>
    </row>
    <row r="379" spans="1:23" x14ac:dyDescent="0.35">
      <c r="A379" t="s">
        <v>404</v>
      </c>
      <c r="B379" t="s">
        <v>17</v>
      </c>
      <c r="C379" s="1">
        <v>44919</v>
      </c>
      <c r="D379" s="1">
        <v>44921</v>
      </c>
      <c r="E379" t="s">
        <v>39</v>
      </c>
      <c r="F379" t="s">
        <v>18</v>
      </c>
      <c r="G379">
        <v>1993</v>
      </c>
      <c r="H379">
        <v>65.94</v>
      </c>
      <c r="I379">
        <v>59.36</v>
      </c>
      <c r="K379">
        <f t="shared" si="60"/>
        <v>1993</v>
      </c>
      <c r="L379" t="s">
        <v>15</v>
      </c>
      <c r="M379" s="1">
        <f t="shared" si="61"/>
        <v>44921</v>
      </c>
      <c r="N379" t="str">
        <f t="shared" ca="1" si="62"/>
        <v>Net 15</v>
      </c>
      <c r="O379">
        <f t="shared" ca="1" si="63"/>
        <v>15</v>
      </c>
      <c r="P379" s="1">
        <f t="shared" ca="1" si="64"/>
        <v>44936</v>
      </c>
      <c r="Q379" s="1">
        <f t="shared" ca="1" si="65"/>
        <v>44931</v>
      </c>
      <c r="R379">
        <f t="shared" ca="1" si="66"/>
        <v>10</v>
      </c>
      <c r="S379" t="str">
        <f t="shared" ca="1" si="67"/>
        <v>On Time</v>
      </c>
      <c r="T379" t="str">
        <f t="shared" ca="1" si="68"/>
        <v>0-30</v>
      </c>
      <c r="U379">
        <f t="shared" ca="1" si="69"/>
        <v>0</v>
      </c>
      <c r="V379" t="str">
        <f t="shared" ca="1" si="70"/>
        <v>Efficient</v>
      </c>
      <c r="W379">
        <f t="shared" si="71"/>
        <v>118304.48</v>
      </c>
    </row>
    <row r="380" spans="1:23" x14ac:dyDescent="0.35">
      <c r="A380" t="s">
        <v>405</v>
      </c>
      <c r="B380" t="s">
        <v>23</v>
      </c>
      <c r="C380" s="1">
        <v>44632</v>
      </c>
      <c r="D380" s="1">
        <v>44647</v>
      </c>
      <c r="E380" t="s">
        <v>26</v>
      </c>
      <c r="F380" t="s">
        <v>18</v>
      </c>
      <c r="G380">
        <v>677</v>
      </c>
      <c r="H380">
        <v>46.54</v>
      </c>
      <c r="I380">
        <v>43.11</v>
      </c>
      <c r="K380">
        <f t="shared" si="60"/>
        <v>677</v>
      </c>
      <c r="L380" t="s">
        <v>27</v>
      </c>
      <c r="M380" s="1">
        <f t="shared" si="61"/>
        <v>44647</v>
      </c>
      <c r="N380" t="str">
        <f t="shared" ca="1" si="62"/>
        <v>Net 30</v>
      </c>
      <c r="O380">
        <f t="shared" ca="1" si="63"/>
        <v>30</v>
      </c>
      <c r="P380" s="1">
        <f t="shared" ca="1" si="64"/>
        <v>44677</v>
      </c>
      <c r="Q380" s="1">
        <f t="shared" ca="1" si="65"/>
        <v>44676</v>
      </c>
      <c r="R380">
        <f t="shared" ca="1" si="66"/>
        <v>29</v>
      </c>
      <c r="S380" t="str">
        <f t="shared" ca="1" si="67"/>
        <v>On Time</v>
      </c>
      <c r="T380" t="str">
        <f t="shared" ca="1" si="68"/>
        <v>0-30</v>
      </c>
      <c r="U380">
        <f t="shared" ca="1" si="69"/>
        <v>0</v>
      </c>
      <c r="V380" t="str">
        <f t="shared" ca="1" si="70"/>
        <v>Efficient</v>
      </c>
      <c r="W380">
        <f t="shared" si="71"/>
        <v>29185.47</v>
      </c>
    </row>
    <row r="381" spans="1:23" x14ac:dyDescent="0.35">
      <c r="A381" t="s">
        <v>406</v>
      </c>
      <c r="B381" t="s">
        <v>12</v>
      </c>
      <c r="C381" s="1">
        <v>44812</v>
      </c>
      <c r="E381" t="s">
        <v>13</v>
      </c>
      <c r="F381" t="s">
        <v>35</v>
      </c>
      <c r="G381">
        <v>636</v>
      </c>
      <c r="H381">
        <v>53.64</v>
      </c>
      <c r="I381">
        <v>49.23</v>
      </c>
      <c r="J381">
        <v>18</v>
      </c>
      <c r="K381">
        <f t="shared" si="60"/>
        <v>618</v>
      </c>
      <c r="L381" t="s">
        <v>15</v>
      </c>
      <c r="M381" s="1">
        <f t="shared" si="61"/>
        <v>0</v>
      </c>
      <c r="N381" t="str">
        <f t="shared" ca="1" si="62"/>
        <v>Net 45</v>
      </c>
      <c r="O381">
        <f t="shared" ca="1" si="63"/>
        <v>45</v>
      </c>
      <c r="P381" s="1">
        <f t="shared" ca="1" si="64"/>
        <v>45</v>
      </c>
      <c r="Q381" s="1">
        <f t="shared" ca="1" si="65"/>
        <v>64</v>
      </c>
      <c r="R381">
        <f t="shared" ca="1" si="66"/>
        <v>64</v>
      </c>
      <c r="S381" t="str">
        <f t="shared" ca="1" si="67"/>
        <v>Late</v>
      </c>
      <c r="T381" t="str">
        <f t="shared" ca="1" si="68"/>
        <v>61-90</v>
      </c>
      <c r="U381">
        <f t="shared" ca="1" si="69"/>
        <v>19</v>
      </c>
      <c r="V381" t="str">
        <f t="shared" ca="1" si="70"/>
        <v>Inefficient</v>
      </c>
      <c r="W381">
        <f t="shared" si="71"/>
        <v>31310.28</v>
      </c>
    </row>
    <row r="382" spans="1:23" x14ac:dyDescent="0.35">
      <c r="A382" t="s">
        <v>407</v>
      </c>
      <c r="B382" t="s">
        <v>29</v>
      </c>
      <c r="C382" s="1">
        <v>44940</v>
      </c>
      <c r="D382" s="1">
        <v>44959</v>
      </c>
      <c r="E382" t="s">
        <v>24</v>
      </c>
      <c r="F382" t="s">
        <v>18</v>
      </c>
      <c r="G382">
        <v>1698</v>
      </c>
      <c r="H382">
        <v>100.97</v>
      </c>
      <c r="I382">
        <v>98.73</v>
      </c>
      <c r="J382">
        <v>52</v>
      </c>
      <c r="K382">
        <f t="shared" si="60"/>
        <v>1646</v>
      </c>
      <c r="L382" t="s">
        <v>15</v>
      </c>
      <c r="M382" s="1">
        <f t="shared" si="61"/>
        <v>44959</v>
      </c>
      <c r="N382" t="str">
        <f t="shared" ca="1" si="62"/>
        <v>Net 15</v>
      </c>
      <c r="O382">
        <f t="shared" ca="1" si="63"/>
        <v>15</v>
      </c>
      <c r="P382" s="1">
        <f t="shared" ca="1" si="64"/>
        <v>44974</v>
      </c>
      <c r="Q382" s="1">
        <f t="shared" ca="1" si="65"/>
        <v>44974</v>
      </c>
      <c r="R382">
        <f t="shared" ca="1" si="66"/>
        <v>15</v>
      </c>
      <c r="S382" t="str">
        <f t="shared" ca="1" si="67"/>
        <v>On Time</v>
      </c>
      <c r="T382" t="str">
        <f t="shared" ca="1" si="68"/>
        <v>0-30</v>
      </c>
      <c r="U382">
        <f t="shared" ca="1" si="69"/>
        <v>0</v>
      </c>
      <c r="V382" t="str">
        <f t="shared" ca="1" si="70"/>
        <v>Efficient</v>
      </c>
      <c r="W382">
        <f t="shared" si="71"/>
        <v>167643.54</v>
      </c>
    </row>
    <row r="383" spans="1:23" x14ac:dyDescent="0.35">
      <c r="A383" t="s">
        <v>408</v>
      </c>
      <c r="B383" t="s">
        <v>20</v>
      </c>
      <c r="C383" s="1">
        <v>44853</v>
      </c>
      <c r="D383" s="1">
        <v>44866</v>
      </c>
      <c r="E383" t="s">
        <v>13</v>
      </c>
      <c r="F383" t="s">
        <v>18</v>
      </c>
      <c r="G383">
        <v>1493</v>
      </c>
      <c r="H383">
        <v>24.87</v>
      </c>
      <c r="I383">
        <v>22.89</v>
      </c>
      <c r="J383">
        <v>56</v>
      </c>
      <c r="K383">
        <f t="shared" si="60"/>
        <v>1437</v>
      </c>
      <c r="L383" t="s">
        <v>15</v>
      </c>
      <c r="M383" s="1">
        <f t="shared" si="61"/>
        <v>44866</v>
      </c>
      <c r="N383" t="str">
        <f t="shared" ca="1" si="62"/>
        <v>Net 45</v>
      </c>
      <c r="O383">
        <f t="shared" ca="1" si="63"/>
        <v>45</v>
      </c>
      <c r="P383" s="1">
        <f t="shared" ca="1" si="64"/>
        <v>44911</v>
      </c>
      <c r="Q383" s="1">
        <f t="shared" ca="1" si="65"/>
        <v>44921</v>
      </c>
      <c r="R383">
        <f t="shared" ca="1" si="66"/>
        <v>55</v>
      </c>
      <c r="S383" t="str">
        <f t="shared" ca="1" si="67"/>
        <v>Late</v>
      </c>
      <c r="T383" t="str">
        <f t="shared" ca="1" si="68"/>
        <v>31-60</v>
      </c>
      <c r="U383">
        <f t="shared" ca="1" si="69"/>
        <v>10</v>
      </c>
      <c r="V383" t="str">
        <f t="shared" ca="1" si="70"/>
        <v>Inefficient</v>
      </c>
      <c r="W383">
        <f t="shared" si="71"/>
        <v>34174.770000000004</v>
      </c>
    </row>
    <row r="384" spans="1:23" x14ac:dyDescent="0.35">
      <c r="A384" t="s">
        <v>409</v>
      </c>
      <c r="B384" t="s">
        <v>12</v>
      </c>
      <c r="C384" s="1">
        <v>44723</v>
      </c>
      <c r="D384" s="1">
        <v>44737</v>
      </c>
      <c r="E384" t="s">
        <v>24</v>
      </c>
      <c r="F384" t="s">
        <v>18</v>
      </c>
      <c r="G384">
        <v>1495</v>
      </c>
      <c r="H384">
        <v>64.33</v>
      </c>
      <c r="I384">
        <v>58.18</v>
      </c>
      <c r="J384">
        <v>26</v>
      </c>
      <c r="K384">
        <f t="shared" si="60"/>
        <v>1469</v>
      </c>
      <c r="L384" t="s">
        <v>15</v>
      </c>
      <c r="M384" s="1">
        <f t="shared" si="61"/>
        <v>44737</v>
      </c>
      <c r="N384" t="str">
        <f t="shared" ca="1" si="62"/>
        <v>Net 15</v>
      </c>
      <c r="O384">
        <f t="shared" ca="1" si="63"/>
        <v>15</v>
      </c>
      <c r="P384" s="1">
        <f t="shared" ca="1" si="64"/>
        <v>44752</v>
      </c>
      <c r="Q384" s="1">
        <f t="shared" ca="1" si="65"/>
        <v>44768</v>
      </c>
      <c r="R384">
        <f t="shared" ca="1" si="66"/>
        <v>31</v>
      </c>
      <c r="S384" t="str">
        <f t="shared" ca="1" si="67"/>
        <v>Late</v>
      </c>
      <c r="T384" t="str">
        <f t="shared" ca="1" si="68"/>
        <v>31-60</v>
      </c>
      <c r="U384">
        <f t="shared" ca="1" si="69"/>
        <v>16</v>
      </c>
      <c r="V384" t="str">
        <f t="shared" ca="1" si="70"/>
        <v>Inefficient</v>
      </c>
      <c r="W384">
        <f t="shared" si="71"/>
        <v>86979.1</v>
      </c>
    </row>
    <row r="385" spans="1:23" x14ac:dyDescent="0.35">
      <c r="A385" t="s">
        <v>410</v>
      </c>
      <c r="B385" t="s">
        <v>12</v>
      </c>
      <c r="C385" s="1">
        <v>45010</v>
      </c>
      <c r="D385" s="1">
        <v>45023</v>
      </c>
      <c r="E385" t="s">
        <v>24</v>
      </c>
      <c r="F385" t="s">
        <v>14</v>
      </c>
      <c r="G385">
        <v>153</v>
      </c>
      <c r="H385">
        <v>59.42</v>
      </c>
      <c r="I385">
        <v>52</v>
      </c>
      <c r="J385">
        <v>3</v>
      </c>
      <c r="K385">
        <f t="shared" si="60"/>
        <v>150</v>
      </c>
      <c r="L385" t="s">
        <v>15</v>
      </c>
      <c r="M385" s="1">
        <f t="shared" si="61"/>
        <v>45023</v>
      </c>
      <c r="N385" t="str">
        <f t="shared" ca="1" si="62"/>
        <v>Net 30</v>
      </c>
      <c r="O385">
        <f t="shared" ca="1" si="63"/>
        <v>30</v>
      </c>
      <c r="P385" s="1">
        <f t="shared" ca="1" si="64"/>
        <v>45053</v>
      </c>
      <c r="Q385" s="1">
        <f t="shared" ca="1" si="65"/>
        <v>45072</v>
      </c>
      <c r="R385">
        <f t="shared" ca="1" si="66"/>
        <v>49</v>
      </c>
      <c r="S385" t="str">
        <f t="shared" ca="1" si="67"/>
        <v>Late</v>
      </c>
      <c r="T385" t="str">
        <f t="shared" ca="1" si="68"/>
        <v>31-60</v>
      </c>
      <c r="U385">
        <f t="shared" ca="1" si="69"/>
        <v>19</v>
      </c>
      <c r="V385" t="str">
        <f t="shared" ca="1" si="70"/>
        <v>Inefficient</v>
      </c>
      <c r="W385">
        <f t="shared" si="71"/>
        <v>7956</v>
      </c>
    </row>
    <row r="386" spans="1:23" x14ac:dyDescent="0.35">
      <c r="A386" t="s">
        <v>411</v>
      </c>
      <c r="B386" t="s">
        <v>17</v>
      </c>
      <c r="C386" s="1">
        <v>45118</v>
      </c>
      <c r="D386" s="1">
        <v>45129</v>
      </c>
      <c r="E386" t="s">
        <v>26</v>
      </c>
      <c r="F386" t="s">
        <v>14</v>
      </c>
      <c r="G386">
        <v>1925</v>
      </c>
      <c r="H386">
        <v>70.88</v>
      </c>
      <c r="I386">
        <v>63.41</v>
      </c>
      <c r="J386">
        <v>292</v>
      </c>
      <c r="K386">
        <f t="shared" si="60"/>
        <v>1633</v>
      </c>
      <c r="L386" t="s">
        <v>15</v>
      </c>
      <c r="M386" s="1">
        <f t="shared" si="61"/>
        <v>45129</v>
      </c>
      <c r="N386" t="str">
        <f t="shared" ca="1" si="62"/>
        <v>Net 30</v>
      </c>
      <c r="O386">
        <f t="shared" ca="1" si="63"/>
        <v>30</v>
      </c>
      <c r="P386" s="1">
        <f t="shared" ca="1" si="64"/>
        <v>45159</v>
      </c>
      <c r="Q386" s="1">
        <f t="shared" ca="1" si="65"/>
        <v>45164</v>
      </c>
      <c r="R386">
        <f t="shared" ca="1" si="66"/>
        <v>35</v>
      </c>
      <c r="S386" t="str">
        <f t="shared" ca="1" si="67"/>
        <v>Late</v>
      </c>
      <c r="T386" t="str">
        <f t="shared" ca="1" si="68"/>
        <v>31-60</v>
      </c>
      <c r="U386">
        <f t="shared" ca="1" si="69"/>
        <v>5</v>
      </c>
      <c r="V386" t="str">
        <f t="shared" ca="1" si="70"/>
        <v>Inefficient</v>
      </c>
      <c r="W386">
        <f t="shared" si="71"/>
        <v>122064.25</v>
      </c>
    </row>
    <row r="387" spans="1:23" x14ac:dyDescent="0.35">
      <c r="A387" t="s">
        <v>412</v>
      </c>
      <c r="B387" t="s">
        <v>23</v>
      </c>
      <c r="C387" s="1">
        <v>45282</v>
      </c>
      <c r="D387" s="1">
        <v>45302</v>
      </c>
      <c r="E387" t="s">
        <v>24</v>
      </c>
      <c r="F387" t="s">
        <v>18</v>
      </c>
      <c r="G387">
        <v>303</v>
      </c>
      <c r="H387">
        <v>12.97</v>
      </c>
      <c r="I387">
        <v>11.42</v>
      </c>
      <c r="K387">
        <f t="shared" ref="K387:K450" si="72">G387-J387</f>
        <v>303</v>
      </c>
      <c r="L387" t="s">
        <v>27</v>
      </c>
      <c r="M387" s="1">
        <f t="shared" ref="M387:M450" si="73">D387</f>
        <v>45302</v>
      </c>
      <c r="N387" t="str">
        <f t="shared" ref="N387:N450" ca="1" si="74">CHOOSE(RANDBETWEEN(1,3),"Net 15","Net 30","Net 45")</f>
        <v>Net 45</v>
      </c>
      <c r="O387">
        <f t="shared" ref="O387:O450" ca="1" si="75">VALUE(RIGHT(N387,2))</f>
        <v>45</v>
      </c>
      <c r="P387" s="1">
        <f t="shared" ref="P387:P450" ca="1" si="76">(M387+O387)</f>
        <v>45347</v>
      </c>
      <c r="Q387" s="1">
        <f t="shared" ref="Q387:Q450" ca="1" si="77">P387 + RANDBETWEEN(-5,20)</f>
        <v>45353</v>
      </c>
      <c r="R387">
        <f t="shared" ref="R387:R450" ca="1" si="78">Q387-M387</f>
        <v>51</v>
      </c>
      <c r="S387" t="str">
        <f t="shared" ref="S387:S450" ca="1" si="79">IF(Q387&lt;=P387,"On Time","Late")</f>
        <v>Late</v>
      </c>
      <c r="T387" t="str">
        <f t="shared" ref="T387:T450" ca="1" si="80">IF(R387&lt;=30,"0-30",
IF(R387&lt;=60,"31-60",
IF(R387&lt;=90,"61-90","90+")))</f>
        <v>31-60</v>
      </c>
      <c r="U387">
        <f t="shared" ref="U387:U450" ca="1" si="81">MAX(0,Q387-P387)</f>
        <v>6</v>
      </c>
      <c r="V387" t="str">
        <f t="shared" ref="V387:V450" ca="1" si="82">IF(U387=0,"Efficient","Inefficient")</f>
        <v>Inefficient</v>
      </c>
      <c r="W387">
        <f t="shared" ref="W387:W450" si="83">G387*I387</f>
        <v>3460.2599999999998</v>
      </c>
    </row>
    <row r="388" spans="1:23" x14ac:dyDescent="0.35">
      <c r="A388" t="s">
        <v>413</v>
      </c>
      <c r="B388" t="s">
        <v>12</v>
      </c>
      <c r="C388" s="1">
        <v>44871</v>
      </c>
      <c r="D388" s="1">
        <v>44883</v>
      </c>
      <c r="E388" t="s">
        <v>13</v>
      </c>
      <c r="F388" t="s">
        <v>18</v>
      </c>
      <c r="G388">
        <v>1300</v>
      </c>
      <c r="H388">
        <v>92.92</v>
      </c>
      <c r="I388">
        <v>90.63</v>
      </c>
      <c r="K388">
        <f t="shared" si="72"/>
        <v>1300</v>
      </c>
      <c r="L388" t="s">
        <v>15</v>
      </c>
      <c r="M388" s="1">
        <f t="shared" si="73"/>
        <v>44883</v>
      </c>
      <c r="N388" t="str">
        <f t="shared" ca="1" si="74"/>
        <v>Net 15</v>
      </c>
      <c r="O388">
        <f t="shared" ca="1" si="75"/>
        <v>15</v>
      </c>
      <c r="P388" s="1">
        <f t="shared" ca="1" si="76"/>
        <v>44898</v>
      </c>
      <c r="Q388" s="1">
        <f t="shared" ca="1" si="77"/>
        <v>44909</v>
      </c>
      <c r="R388">
        <f t="shared" ca="1" si="78"/>
        <v>26</v>
      </c>
      <c r="S388" t="str">
        <f t="shared" ca="1" si="79"/>
        <v>Late</v>
      </c>
      <c r="T388" t="str">
        <f t="shared" ca="1" si="80"/>
        <v>0-30</v>
      </c>
      <c r="U388">
        <f t="shared" ca="1" si="81"/>
        <v>11</v>
      </c>
      <c r="V388" t="str">
        <f t="shared" ca="1" si="82"/>
        <v>Inefficient</v>
      </c>
      <c r="W388">
        <f t="shared" si="83"/>
        <v>117819</v>
      </c>
    </row>
    <row r="389" spans="1:23" x14ac:dyDescent="0.35">
      <c r="A389" t="s">
        <v>414</v>
      </c>
      <c r="B389" t="s">
        <v>20</v>
      </c>
      <c r="C389" s="1">
        <v>45188</v>
      </c>
      <c r="D389" s="1">
        <v>45192</v>
      </c>
      <c r="E389" t="s">
        <v>26</v>
      </c>
      <c r="F389" t="s">
        <v>18</v>
      </c>
      <c r="G389">
        <v>1185</v>
      </c>
      <c r="H389">
        <v>103.28</v>
      </c>
      <c r="I389">
        <v>99.05</v>
      </c>
      <c r="K389">
        <f t="shared" si="72"/>
        <v>1185</v>
      </c>
      <c r="L389" t="s">
        <v>15</v>
      </c>
      <c r="M389" s="1">
        <f t="shared" si="73"/>
        <v>45192</v>
      </c>
      <c r="N389" t="str">
        <f t="shared" ca="1" si="74"/>
        <v>Net 45</v>
      </c>
      <c r="O389">
        <f t="shared" ca="1" si="75"/>
        <v>45</v>
      </c>
      <c r="P389" s="1">
        <f t="shared" ca="1" si="76"/>
        <v>45237</v>
      </c>
      <c r="Q389" s="1">
        <f t="shared" ca="1" si="77"/>
        <v>45250</v>
      </c>
      <c r="R389">
        <f t="shared" ca="1" si="78"/>
        <v>58</v>
      </c>
      <c r="S389" t="str">
        <f t="shared" ca="1" si="79"/>
        <v>Late</v>
      </c>
      <c r="T389" t="str">
        <f t="shared" ca="1" si="80"/>
        <v>31-60</v>
      </c>
      <c r="U389">
        <f t="shared" ca="1" si="81"/>
        <v>13</v>
      </c>
      <c r="V389" t="str">
        <f t="shared" ca="1" si="82"/>
        <v>Inefficient</v>
      </c>
      <c r="W389">
        <f t="shared" si="83"/>
        <v>117374.25</v>
      </c>
    </row>
    <row r="390" spans="1:23" x14ac:dyDescent="0.35">
      <c r="A390" t="s">
        <v>415</v>
      </c>
      <c r="B390" t="s">
        <v>29</v>
      </c>
      <c r="C390" s="1">
        <v>45231</v>
      </c>
      <c r="D390" s="1">
        <v>45250</v>
      </c>
      <c r="E390" t="s">
        <v>26</v>
      </c>
      <c r="F390" t="s">
        <v>18</v>
      </c>
      <c r="G390">
        <v>559</v>
      </c>
      <c r="H390">
        <v>67.56</v>
      </c>
      <c r="I390">
        <v>57.98</v>
      </c>
      <c r="J390">
        <v>15</v>
      </c>
      <c r="K390">
        <f t="shared" si="72"/>
        <v>544</v>
      </c>
      <c r="L390" t="s">
        <v>15</v>
      </c>
      <c r="M390" s="1">
        <f t="shared" si="73"/>
        <v>45250</v>
      </c>
      <c r="N390" t="str">
        <f t="shared" ca="1" si="74"/>
        <v>Net 30</v>
      </c>
      <c r="O390">
        <f t="shared" ca="1" si="75"/>
        <v>30</v>
      </c>
      <c r="P390" s="1">
        <f t="shared" ca="1" si="76"/>
        <v>45280</v>
      </c>
      <c r="Q390" s="1">
        <f t="shared" ca="1" si="77"/>
        <v>45286</v>
      </c>
      <c r="R390">
        <f t="shared" ca="1" si="78"/>
        <v>36</v>
      </c>
      <c r="S390" t="str">
        <f t="shared" ca="1" si="79"/>
        <v>Late</v>
      </c>
      <c r="T390" t="str">
        <f t="shared" ca="1" si="80"/>
        <v>31-60</v>
      </c>
      <c r="U390">
        <f t="shared" ca="1" si="81"/>
        <v>6</v>
      </c>
      <c r="V390" t="str">
        <f t="shared" ca="1" si="82"/>
        <v>Inefficient</v>
      </c>
      <c r="W390">
        <f t="shared" si="83"/>
        <v>32410.82</v>
      </c>
    </row>
    <row r="391" spans="1:23" x14ac:dyDescent="0.35">
      <c r="A391" t="s">
        <v>416</v>
      </c>
      <c r="B391" t="s">
        <v>29</v>
      </c>
      <c r="C391" s="1">
        <v>45103</v>
      </c>
      <c r="D391" s="1">
        <v>45106</v>
      </c>
      <c r="E391" t="s">
        <v>39</v>
      </c>
      <c r="F391" t="s">
        <v>35</v>
      </c>
      <c r="G391">
        <v>1546</v>
      </c>
      <c r="H391">
        <v>78.88</v>
      </c>
      <c r="I391">
        <v>78</v>
      </c>
      <c r="J391">
        <v>38</v>
      </c>
      <c r="K391">
        <f t="shared" si="72"/>
        <v>1508</v>
      </c>
      <c r="L391" t="s">
        <v>15</v>
      </c>
      <c r="M391" s="1">
        <f t="shared" si="73"/>
        <v>45106</v>
      </c>
      <c r="N391" t="str">
        <f t="shared" ca="1" si="74"/>
        <v>Net 15</v>
      </c>
      <c r="O391">
        <f t="shared" ca="1" si="75"/>
        <v>15</v>
      </c>
      <c r="P391" s="1">
        <f t="shared" ca="1" si="76"/>
        <v>45121</v>
      </c>
      <c r="Q391" s="1">
        <f t="shared" ca="1" si="77"/>
        <v>45133</v>
      </c>
      <c r="R391">
        <f t="shared" ca="1" si="78"/>
        <v>27</v>
      </c>
      <c r="S391" t="str">
        <f t="shared" ca="1" si="79"/>
        <v>Late</v>
      </c>
      <c r="T391" t="str">
        <f t="shared" ca="1" si="80"/>
        <v>0-30</v>
      </c>
      <c r="U391">
        <f t="shared" ca="1" si="81"/>
        <v>12</v>
      </c>
      <c r="V391" t="str">
        <f t="shared" ca="1" si="82"/>
        <v>Inefficient</v>
      </c>
      <c r="W391">
        <f t="shared" si="83"/>
        <v>120588</v>
      </c>
    </row>
    <row r="392" spans="1:23" x14ac:dyDescent="0.35">
      <c r="A392" t="s">
        <v>417</v>
      </c>
      <c r="B392" t="s">
        <v>29</v>
      </c>
      <c r="C392" s="1">
        <v>44570</v>
      </c>
      <c r="D392" s="1">
        <v>44580</v>
      </c>
      <c r="E392" t="s">
        <v>24</v>
      </c>
      <c r="F392" t="s">
        <v>18</v>
      </c>
      <c r="G392">
        <v>148</v>
      </c>
      <c r="H392">
        <v>93.02</v>
      </c>
      <c r="I392">
        <v>85.96</v>
      </c>
      <c r="J392">
        <v>4</v>
      </c>
      <c r="K392">
        <f t="shared" si="72"/>
        <v>144</v>
      </c>
      <c r="L392" t="s">
        <v>15</v>
      </c>
      <c r="M392" s="1">
        <f t="shared" si="73"/>
        <v>44580</v>
      </c>
      <c r="N392" t="str">
        <f t="shared" ca="1" si="74"/>
        <v>Net 15</v>
      </c>
      <c r="O392">
        <f t="shared" ca="1" si="75"/>
        <v>15</v>
      </c>
      <c r="P392" s="1">
        <f t="shared" ca="1" si="76"/>
        <v>44595</v>
      </c>
      <c r="Q392" s="1">
        <f t="shared" ca="1" si="77"/>
        <v>44615</v>
      </c>
      <c r="R392">
        <f t="shared" ca="1" si="78"/>
        <v>35</v>
      </c>
      <c r="S392" t="str">
        <f t="shared" ca="1" si="79"/>
        <v>Late</v>
      </c>
      <c r="T392" t="str">
        <f t="shared" ca="1" si="80"/>
        <v>31-60</v>
      </c>
      <c r="U392">
        <f t="shared" ca="1" si="81"/>
        <v>20</v>
      </c>
      <c r="V392" t="str">
        <f t="shared" ca="1" si="82"/>
        <v>Inefficient</v>
      </c>
      <c r="W392">
        <f t="shared" si="83"/>
        <v>12722.08</v>
      </c>
    </row>
    <row r="393" spans="1:23" x14ac:dyDescent="0.35">
      <c r="A393" t="s">
        <v>418</v>
      </c>
      <c r="B393" t="s">
        <v>17</v>
      </c>
      <c r="C393" s="1">
        <v>45245</v>
      </c>
      <c r="D393" s="1">
        <v>45253</v>
      </c>
      <c r="E393" t="s">
        <v>13</v>
      </c>
      <c r="F393" t="s">
        <v>18</v>
      </c>
      <c r="G393">
        <v>202</v>
      </c>
      <c r="H393">
        <v>81.75</v>
      </c>
      <c r="I393">
        <v>78.260000000000005</v>
      </c>
      <c r="J393">
        <v>37</v>
      </c>
      <c r="K393">
        <f t="shared" si="72"/>
        <v>165</v>
      </c>
      <c r="L393" t="s">
        <v>27</v>
      </c>
      <c r="M393" s="1">
        <f t="shared" si="73"/>
        <v>45253</v>
      </c>
      <c r="N393" t="str">
        <f t="shared" ca="1" si="74"/>
        <v>Net 30</v>
      </c>
      <c r="O393">
        <f t="shared" ca="1" si="75"/>
        <v>30</v>
      </c>
      <c r="P393" s="1">
        <f t="shared" ca="1" si="76"/>
        <v>45283</v>
      </c>
      <c r="Q393" s="1">
        <f t="shared" ca="1" si="77"/>
        <v>45284</v>
      </c>
      <c r="R393">
        <f t="shared" ca="1" si="78"/>
        <v>31</v>
      </c>
      <c r="S393" t="str">
        <f t="shared" ca="1" si="79"/>
        <v>Late</v>
      </c>
      <c r="T393" t="str">
        <f t="shared" ca="1" si="80"/>
        <v>31-60</v>
      </c>
      <c r="U393">
        <f t="shared" ca="1" si="81"/>
        <v>1</v>
      </c>
      <c r="V393" t="str">
        <f t="shared" ca="1" si="82"/>
        <v>Inefficient</v>
      </c>
      <c r="W393">
        <f t="shared" si="83"/>
        <v>15808.52</v>
      </c>
    </row>
    <row r="394" spans="1:23" x14ac:dyDescent="0.35">
      <c r="A394" t="s">
        <v>419</v>
      </c>
      <c r="B394" t="s">
        <v>20</v>
      </c>
      <c r="C394" s="1">
        <v>45129</v>
      </c>
      <c r="D394" s="1">
        <v>45135</v>
      </c>
      <c r="E394" t="s">
        <v>24</v>
      </c>
      <c r="F394" t="s">
        <v>18</v>
      </c>
      <c r="G394">
        <v>1934</v>
      </c>
      <c r="H394">
        <v>25.86</v>
      </c>
      <c r="I394">
        <v>25.6</v>
      </c>
      <c r="J394">
        <v>78</v>
      </c>
      <c r="K394">
        <f t="shared" si="72"/>
        <v>1856</v>
      </c>
      <c r="L394" t="s">
        <v>15</v>
      </c>
      <c r="M394" s="1">
        <f t="shared" si="73"/>
        <v>45135</v>
      </c>
      <c r="N394" t="str">
        <f t="shared" ca="1" si="74"/>
        <v>Net 45</v>
      </c>
      <c r="O394">
        <f t="shared" ca="1" si="75"/>
        <v>45</v>
      </c>
      <c r="P394" s="1">
        <f t="shared" ca="1" si="76"/>
        <v>45180</v>
      </c>
      <c r="Q394" s="1">
        <f t="shared" ca="1" si="77"/>
        <v>45177</v>
      </c>
      <c r="R394">
        <f t="shared" ca="1" si="78"/>
        <v>42</v>
      </c>
      <c r="S394" t="str">
        <f t="shared" ca="1" si="79"/>
        <v>On Time</v>
      </c>
      <c r="T394" t="str">
        <f t="shared" ca="1" si="80"/>
        <v>31-60</v>
      </c>
      <c r="U394">
        <f t="shared" ca="1" si="81"/>
        <v>0</v>
      </c>
      <c r="V394" t="str">
        <f t="shared" ca="1" si="82"/>
        <v>Efficient</v>
      </c>
      <c r="W394">
        <f t="shared" si="83"/>
        <v>49510.400000000001</v>
      </c>
    </row>
    <row r="395" spans="1:23" x14ac:dyDescent="0.35">
      <c r="A395" t="s">
        <v>420</v>
      </c>
      <c r="B395" t="s">
        <v>12</v>
      </c>
      <c r="C395" s="1">
        <v>44868</v>
      </c>
      <c r="D395" s="1">
        <v>44872</v>
      </c>
      <c r="E395" t="s">
        <v>13</v>
      </c>
      <c r="F395" t="s">
        <v>18</v>
      </c>
      <c r="G395">
        <v>963</v>
      </c>
      <c r="H395">
        <v>64.959999999999994</v>
      </c>
      <c r="I395">
        <v>64.069999999999993</v>
      </c>
      <c r="J395">
        <v>20</v>
      </c>
      <c r="K395">
        <f t="shared" si="72"/>
        <v>943</v>
      </c>
      <c r="L395" t="s">
        <v>15</v>
      </c>
      <c r="M395" s="1">
        <f t="shared" si="73"/>
        <v>44872</v>
      </c>
      <c r="N395" t="str">
        <f t="shared" ca="1" si="74"/>
        <v>Net 30</v>
      </c>
      <c r="O395">
        <f t="shared" ca="1" si="75"/>
        <v>30</v>
      </c>
      <c r="P395" s="1">
        <f t="shared" ca="1" si="76"/>
        <v>44902</v>
      </c>
      <c r="Q395" s="1">
        <f t="shared" ca="1" si="77"/>
        <v>44917</v>
      </c>
      <c r="R395">
        <f t="shared" ca="1" si="78"/>
        <v>45</v>
      </c>
      <c r="S395" t="str">
        <f t="shared" ca="1" si="79"/>
        <v>Late</v>
      </c>
      <c r="T395" t="str">
        <f t="shared" ca="1" si="80"/>
        <v>31-60</v>
      </c>
      <c r="U395">
        <f t="shared" ca="1" si="81"/>
        <v>15</v>
      </c>
      <c r="V395" t="str">
        <f t="shared" ca="1" si="82"/>
        <v>Inefficient</v>
      </c>
      <c r="W395">
        <f t="shared" si="83"/>
        <v>61699.409999999996</v>
      </c>
    </row>
    <row r="396" spans="1:23" x14ac:dyDescent="0.35">
      <c r="A396" t="s">
        <v>421</v>
      </c>
      <c r="B396" t="s">
        <v>20</v>
      </c>
      <c r="C396" s="1">
        <v>45241</v>
      </c>
      <c r="D396" s="1">
        <v>45248</v>
      </c>
      <c r="E396" t="s">
        <v>21</v>
      </c>
      <c r="F396" t="s">
        <v>18</v>
      </c>
      <c r="G396">
        <v>1969</v>
      </c>
      <c r="H396">
        <v>71.709999999999994</v>
      </c>
      <c r="I396">
        <v>61.96</v>
      </c>
      <c r="K396">
        <f t="shared" si="72"/>
        <v>1969</v>
      </c>
      <c r="L396" t="s">
        <v>15</v>
      </c>
      <c r="M396" s="1">
        <f t="shared" si="73"/>
        <v>45248</v>
      </c>
      <c r="N396" t="str">
        <f t="shared" ca="1" si="74"/>
        <v>Net 30</v>
      </c>
      <c r="O396">
        <f t="shared" ca="1" si="75"/>
        <v>30</v>
      </c>
      <c r="P396" s="1">
        <f t="shared" ca="1" si="76"/>
        <v>45278</v>
      </c>
      <c r="Q396" s="1">
        <f t="shared" ca="1" si="77"/>
        <v>45282</v>
      </c>
      <c r="R396">
        <f t="shared" ca="1" si="78"/>
        <v>34</v>
      </c>
      <c r="S396" t="str">
        <f t="shared" ca="1" si="79"/>
        <v>Late</v>
      </c>
      <c r="T396" t="str">
        <f t="shared" ca="1" si="80"/>
        <v>31-60</v>
      </c>
      <c r="U396">
        <f t="shared" ca="1" si="81"/>
        <v>4</v>
      </c>
      <c r="V396" t="str">
        <f t="shared" ca="1" si="82"/>
        <v>Inefficient</v>
      </c>
      <c r="W396">
        <f t="shared" si="83"/>
        <v>121999.24</v>
      </c>
    </row>
    <row r="397" spans="1:23" x14ac:dyDescent="0.35">
      <c r="A397" t="s">
        <v>422</v>
      </c>
      <c r="B397" t="s">
        <v>17</v>
      </c>
      <c r="C397" s="1">
        <v>44668</v>
      </c>
      <c r="E397" t="s">
        <v>39</v>
      </c>
      <c r="F397" t="s">
        <v>18</v>
      </c>
      <c r="G397">
        <v>927</v>
      </c>
      <c r="H397">
        <v>48.89</v>
      </c>
      <c r="I397">
        <v>46.05</v>
      </c>
      <c r="J397">
        <v>138</v>
      </c>
      <c r="K397">
        <f t="shared" si="72"/>
        <v>789</v>
      </c>
      <c r="L397" t="s">
        <v>15</v>
      </c>
      <c r="M397" s="1">
        <f t="shared" si="73"/>
        <v>0</v>
      </c>
      <c r="N397" t="str">
        <f t="shared" ca="1" si="74"/>
        <v>Net 30</v>
      </c>
      <c r="O397">
        <f t="shared" ca="1" si="75"/>
        <v>30</v>
      </c>
      <c r="P397" s="1">
        <f t="shared" ca="1" si="76"/>
        <v>30</v>
      </c>
      <c r="Q397" s="1">
        <f t="shared" ca="1" si="77"/>
        <v>25</v>
      </c>
      <c r="R397">
        <f t="shared" ca="1" si="78"/>
        <v>25</v>
      </c>
      <c r="S397" t="str">
        <f t="shared" ca="1" si="79"/>
        <v>On Time</v>
      </c>
      <c r="T397" t="str">
        <f t="shared" ca="1" si="80"/>
        <v>0-30</v>
      </c>
      <c r="U397">
        <f t="shared" ca="1" si="81"/>
        <v>0</v>
      </c>
      <c r="V397" t="str">
        <f t="shared" ca="1" si="82"/>
        <v>Efficient</v>
      </c>
      <c r="W397">
        <f t="shared" si="83"/>
        <v>42688.35</v>
      </c>
    </row>
    <row r="398" spans="1:23" x14ac:dyDescent="0.35">
      <c r="A398" t="s">
        <v>423</v>
      </c>
      <c r="B398" t="s">
        <v>17</v>
      </c>
      <c r="C398" s="1">
        <v>44699</v>
      </c>
      <c r="D398" s="1">
        <v>44704</v>
      </c>
      <c r="E398" t="s">
        <v>26</v>
      </c>
      <c r="F398" t="s">
        <v>14</v>
      </c>
      <c r="G398">
        <v>387</v>
      </c>
      <c r="H398">
        <v>77.81</v>
      </c>
      <c r="I398">
        <v>69.040000000000006</v>
      </c>
      <c r="J398">
        <v>67</v>
      </c>
      <c r="K398">
        <f t="shared" si="72"/>
        <v>320</v>
      </c>
      <c r="L398" t="s">
        <v>15</v>
      </c>
      <c r="M398" s="1">
        <f t="shared" si="73"/>
        <v>44704</v>
      </c>
      <c r="N398" t="str">
        <f t="shared" ca="1" si="74"/>
        <v>Net 30</v>
      </c>
      <c r="O398">
        <f t="shared" ca="1" si="75"/>
        <v>30</v>
      </c>
      <c r="P398" s="1">
        <f t="shared" ca="1" si="76"/>
        <v>44734</v>
      </c>
      <c r="Q398" s="1">
        <f t="shared" ca="1" si="77"/>
        <v>44750</v>
      </c>
      <c r="R398">
        <f t="shared" ca="1" si="78"/>
        <v>46</v>
      </c>
      <c r="S398" t="str">
        <f t="shared" ca="1" si="79"/>
        <v>Late</v>
      </c>
      <c r="T398" t="str">
        <f t="shared" ca="1" si="80"/>
        <v>31-60</v>
      </c>
      <c r="U398">
        <f t="shared" ca="1" si="81"/>
        <v>16</v>
      </c>
      <c r="V398" t="str">
        <f t="shared" ca="1" si="82"/>
        <v>Inefficient</v>
      </c>
      <c r="W398">
        <f t="shared" si="83"/>
        <v>26718.480000000003</v>
      </c>
    </row>
    <row r="399" spans="1:23" x14ac:dyDescent="0.35">
      <c r="A399" t="s">
        <v>424</v>
      </c>
      <c r="B399" t="s">
        <v>23</v>
      </c>
      <c r="C399" s="1">
        <v>44832</v>
      </c>
      <c r="D399" s="1">
        <v>44837</v>
      </c>
      <c r="E399" t="s">
        <v>39</v>
      </c>
      <c r="F399" t="s">
        <v>18</v>
      </c>
      <c r="G399">
        <v>1779</v>
      </c>
      <c r="H399">
        <v>97.86</v>
      </c>
      <c r="I399">
        <v>94.36</v>
      </c>
      <c r="J399">
        <v>176</v>
      </c>
      <c r="K399">
        <f t="shared" si="72"/>
        <v>1603</v>
      </c>
      <c r="L399" t="s">
        <v>15</v>
      </c>
      <c r="M399" s="1">
        <f t="shared" si="73"/>
        <v>44837</v>
      </c>
      <c r="N399" t="str">
        <f t="shared" ca="1" si="74"/>
        <v>Net 30</v>
      </c>
      <c r="O399">
        <f t="shared" ca="1" si="75"/>
        <v>30</v>
      </c>
      <c r="P399" s="1">
        <f t="shared" ca="1" si="76"/>
        <v>44867</v>
      </c>
      <c r="Q399" s="1">
        <f t="shared" ca="1" si="77"/>
        <v>44871</v>
      </c>
      <c r="R399">
        <f t="shared" ca="1" si="78"/>
        <v>34</v>
      </c>
      <c r="S399" t="str">
        <f t="shared" ca="1" si="79"/>
        <v>Late</v>
      </c>
      <c r="T399" t="str">
        <f t="shared" ca="1" si="80"/>
        <v>31-60</v>
      </c>
      <c r="U399">
        <f t="shared" ca="1" si="81"/>
        <v>4</v>
      </c>
      <c r="V399" t="str">
        <f t="shared" ca="1" si="82"/>
        <v>Inefficient</v>
      </c>
      <c r="W399">
        <f t="shared" si="83"/>
        <v>167866.44</v>
      </c>
    </row>
    <row r="400" spans="1:23" x14ac:dyDescent="0.35">
      <c r="A400" t="s">
        <v>425</v>
      </c>
      <c r="B400" t="s">
        <v>20</v>
      </c>
      <c r="C400" s="1">
        <v>44680</v>
      </c>
      <c r="D400" s="1">
        <v>44686</v>
      </c>
      <c r="E400" t="s">
        <v>21</v>
      </c>
      <c r="F400" t="s">
        <v>35</v>
      </c>
      <c r="G400">
        <v>871</v>
      </c>
      <c r="H400">
        <v>94.7</v>
      </c>
      <c r="I400">
        <v>92.66</v>
      </c>
      <c r="J400">
        <v>46</v>
      </c>
      <c r="K400">
        <f t="shared" si="72"/>
        <v>825</v>
      </c>
      <c r="L400" t="s">
        <v>15</v>
      </c>
      <c r="M400" s="1">
        <f t="shared" si="73"/>
        <v>44686</v>
      </c>
      <c r="N400" t="str">
        <f t="shared" ca="1" si="74"/>
        <v>Net 30</v>
      </c>
      <c r="O400">
        <f t="shared" ca="1" si="75"/>
        <v>30</v>
      </c>
      <c r="P400" s="1">
        <f t="shared" ca="1" si="76"/>
        <v>44716</v>
      </c>
      <c r="Q400" s="1">
        <f t="shared" ca="1" si="77"/>
        <v>44730</v>
      </c>
      <c r="R400">
        <f t="shared" ca="1" si="78"/>
        <v>44</v>
      </c>
      <c r="S400" t="str">
        <f t="shared" ca="1" si="79"/>
        <v>Late</v>
      </c>
      <c r="T400" t="str">
        <f t="shared" ca="1" si="80"/>
        <v>31-60</v>
      </c>
      <c r="U400">
        <f t="shared" ca="1" si="81"/>
        <v>14</v>
      </c>
      <c r="V400" t="str">
        <f t="shared" ca="1" si="82"/>
        <v>Inefficient</v>
      </c>
      <c r="W400">
        <f t="shared" si="83"/>
        <v>80706.86</v>
      </c>
    </row>
    <row r="401" spans="1:23" x14ac:dyDescent="0.35">
      <c r="A401" t="s">
        <v>426</v>
      </c>
      <c r="B401" t="s">
        <v>29</v>
      </c>
      <c r="C401" s="1">
        <v>44671</v>
      </c>
      <c r="D401" s="1">
        <v>44674</v>
      </c>
      <c r="E401" t="s">
        <v>39</v>
      </c>
      <c r="F401" t="s">
        <v>18</v>
      </c>
      <c r="G401">
        <v>1236</v>
      </c>
      <c r="H401">
        <v>51.33</v>
      </c>
      <c r="I401">
        <v>44.03</v>
      </c>
      <c r="J401">
        <v>25</v>
      </c>
      <c r="K401">
        <f t="shared" si="72"/>
        <v>1211</v>
      </c>
      <c r="L401" t="s">
        <v>15</v>
      </c>
      <c r="M401" s="1">
        <f t="shared" si="73"/>
        <v>44674</v>
      </c>
      <c r="N401" t="str">
        <f t="shared" ca="1" si="74"/>
        <v>Net 30</v>
      </c>
      <c r="O401">
        <f t="shared" ca="1" si="75"/>
        <v>30</v>
      </c>
      <c r="P401" s="1">
        <f t="shared" ca="1" si="76"/>
        <v>44704</v>
      </c>
      <c r="Q401" s="1">
        <f t="shared" ca="1" si="77"/>
        <v>44705</v>
      </c>
      <c r="R401">
        <f t="shared" ca="1" si="78"/>
        <v>31</v>
      </c>
      <c r="S401" t="str">
        <f t="shared" ca="1" si="79"/>
        <v>Late</v>
      </c>
      <c r="T401" t="str">
        <f t="shared" ca="1" si="80"/>
        <v>31-60</v>
      </c>
      <c r="U401">
        <f t="shared" ca="1" si="81"/>
        <v>1</v>
      </c>
      <c r="V401" t="str">
        <f t="shared" ca="1" si="82"/>
        <v>Inefficient</v>
      </c>
      <c r="W401">
        <f t="shared" si="83"/>
        <v>54421.08</v>
      </c>
    </row>
    <row r="402" spans="1:23" x14ac:dyDescent="0.35">
      <c r="A402" t="s">
        <v>427</v>
      </c>
      <c r="B402" t="s">
        <v>17</v>
      </c>
      <c r="C402" s="1">
        <v>45128</v>
      </c>
      <c r="D402" s="1">
        <v>45144</v>
      </c>
      <c r="E402" t="s">
        <v>39</v>
      </c>
      <c r="F402" t="s">
        <v>18</v>
      </c>
      <c r="G402">
        <v>1793</v>
      </c>
      <c r="H402">
        <v>22.01</v>
      </c>
      <c r="I402">
        <v>21.78</v>
      </c>
      <c r="J402">
        <v>285</v>
      </c>
      <c r="K402">
        <f t="shared" si="72"/>
        <v>1508</v>
      </c>
      <c r="L402" t="s">
        <v>15</v>
      </c>
      <c r="M402" s="1">
        <f t="shared" si="73"/>
        <v>45144</v>
      </c>
      <c r="N402" t="str">
        <f t="shared" ca="1" si="74"/>
        <v>Net 15</v>
      </c>
      <c r="O402">
        <f t="shared" ca="1" si="75"/>
        <v>15</v>
      </c>
      <c r="P402" s="1">
        <f t="shared" ca="1" si="76"/>
        <v>45159</v>
      </c>
      <c r="Q402" s="1">
        <f t="shared" ca="1" si="77"/>
        <v>45158</v>
      </c>
      <c r="R402">
        <f t="shared" ca="1" si="78"/>
        <v>14</v>
      </c>
      <c r="S402" t="str">
        <f t="shared" ca="1" si="79"/>
        <v>On Time</v>
      </c>
      <c r="T402" t="str">
        <f t="shared" ca="1" si="80"/>
        <v>0-30</v>
      </c>
      <c r="U402">
        <f t="shared" ca="1" si="81"/>
        <v>0</v>
      </c>
      <c r="V402" t="str">
        <f t="shared" ca="1" si="82"/>
        <v>Efficient</v>
      </c>
      <c r="W402">
        <f t="shared" si="83"/>
        <v>39051.54</v>
      </c>
    </row>
    <row r="403" spans="1:23" x14ac:dyDescent="0.35">
      <c r="A403" t="s">
        <v>428</v>
      </c>
      <c r="B403" t="s">
        <v>17</v>
      </c>
      <c r="C403" s="1">
        <v>44721</v>
      </c>
      <c r="D403" s="1">
        <v>44740</v>
      </c>
      <c r="E403" t="s">
        <v>21</v>
      </c>
      <c r="F403" t="s">
        <v>18</v>
      </c>
      <c r="G403">
        <v>1006</v>
      </c>
      <c r="H403">
        <v>101.1</v>
      </c>
      <c r="I403">
        <v>89.04</v>
      </c>
      <c r="J403">
        <v>139</v>
      </c>
      <c r="K403">
        <f t="shared" si="72"/>
        <v>867</v>
      </c>
      <c r="L403" t="s">
        <v>15</v>
      </c>
      <c r="M403" s="1">
        <f t="shared" si="73"/>
        <v>44740</v>
      </c>
      <c r="N403" t="str">
        <f t="shared" ca="1" si="74"/>
        <v>Net 30</v>
      </c>
      <c r="O403">
        <f t="shared" ca="1" si="75"/>
        <v>30</v>
      </c>
      <c r="P403" s="1">
        <f t="shared" ca="1" si="76"/>
        <v>44770</v>
      </c>
      <c r="Q403" s="1">
        <f t="shared" ca="1" si="77"/>
        <v>44772</v>
      </c>
      <c r="R403">
        <f t="shared" ca="1" si="78"/>
        <v>32</v>
      </c>
      <c r="S403" t="str">
        <f t="shared" ca="1" si="79"/>
        <v>Late</v>
      </c>
      <c r="T403" t="str">
        <f t="shared" ca="1" si="80"/>
        <v>31-60</v>
      </c>
      <c r="U403">
        <f t="shared" ca="1" si="81"/>
        <v>2</v>
      </c>
      <c r="V403" t="str">
        <f t="shared" ca="1" si="82"/>
        <v>Inefficient</v>
      </c>
      <c r="W403">
        <f t="shared" si="83"/>
        <v>89574.24</v>
      </c>
    </row>
    <row r="404" spans="1:23" x14ac:dyDescent="0.35">
      <c r="A404" t="s">
        <v>429</v>
      </c>
      <c r="B404" t="s">
        <v>23</v>
      </c>
      <c r="C404" s="1">
        <v>44840</v>
      </c>
      <c r="D404" s="1">
        <v>44855</v>
      </c>
      <c r="E404" t="s">
        <v>39</v>
      </c>
      <c r="F404" t="s">
        <v>14</v>
      </c>
      <c r="G404">
        <v>1754</v>
      </c>
      <c r="H404">
        <v>89.35</v>
      </c>
      <c r="I404">
        <v>86.54</v>
      </c>
      <c r="J404">
        <v>161</v>
      </c>
      <c r="K404">
        <f t="shared" si="72"/>
        <v>1593</v>
      </c>
      <c r="L404" t="s">
        <v>27</v>
      </c>
      <c r="M404" s="1">
        <f t="shared" si="73"/>
        <v>44855</v>
      </c>
      <c r="N404" t="str">
        <f t="shared" ca="1" si="74"/>
        <v>Net 15</v>
      </c>
      <c r="O404">
        <f t="shared" ca="1" si="75"/>
        <v>15</v>
      </c>
      <c r="P404" s="1">
        <f t="shared" ca="1" si="76"/>
        <v>44870</v>
      </c>
      <c r="Q404" s="1">
        <f t="shared" ca="1" si="77"/>
        <v>44872</v>
      </c>
      <c r="R404">
        <f t="shared" ca="1" si="78"/>
        <v>17</v>
      </c>
      <c r="S404" t="str">
        <f t="shared" ca="1" si="79"/>
        <v>Late</v>
      </c>
      <c r="T404" t="str">
        <f t="shared" ca="1" si="80"/>
        <v>0-30</v>
      </c>
      <c r="U404">
        <f t="shared" ca="1" si="81"/>
        <v>2</v>
      </c>
      <c r="V404" t="str">
        <f t="shared" ca="1" si="82"/>
        <v>Inefficient</v>
      </c>
      <c r="W404">
        <f t="shared" si="83"/>
        <v>151791.16</v>
      </c>
    </row>
    <row r="405" spans="1:23" x14ac:dyDescent="0.35">
      <c r="A405" t="s">
        <v>430</v>
      </c>
      <c r="B405" t="s">
        <v>29</v>
      </c>
      <c r="C405" s="1">
        <v>44850</v>
      </c>
      <c r="D405" s="1">
        <v>44869</v>
      </c>
      <c r="E405" t="s">
        <v>39</v>
      </c>
      <c r="F405" t="s">
        <v>18</v>
      </c>
      <c r="G405">
        <v>210</v>
      </c>
      <c r="H405">
        <v>22.17</v>
      </c>
      <c r="I405">
        <v>21.32</v>
      </c>
      <c r="J405">
        <v>10</v>
      </c>
      <c r="K405">
        <f t="shared" si="72"/>
        <v>200</v>
      </c>
      <c r="L405" t="s">
        <v>15</v>
      </c>
      <c r="M405" s="1">
        <f t="shared" si="73"/>
        <v>44869</v>
      </c>
      <c r="N405" t="str">
        <f t="shared" ca="1" si="74"/>
        <v>Net 15</v>
      </c>
      <c r="O405">
        <f t="shared" ca="1" si="75"/>
        <v>15</v>
      </c>
      <c r="P405" s="1">
        <f t="shared" ca="1" si="76"/>
        <v>44884</v>
      </c>
      <c r="Q405" s="1">
        <f t="shared" ca="1" si="77"/>
        <v>44879</v>
      </c>
      <c r="R405">
        <f t="shared" ca="1" si="78"/>
        <v>10</v>
      </c>
      <c r="S405" t="str">
        <f t="shared" ca="1" si="79"/>
        <v>On Time</v>
      </c>
      <c r="T405" t="str">
        <f t="shared" ca="1" si="80"/>
        <v>0-30</v>
      </c>
      <c r="U405">
        <f t="shared" ca="1" si="81"/>
        <v>0</v>
      </c>
      <c r="V405" t="str">
        <f t="shared" ca="1" si="82"/>
        <v>Efficient</v>
      </c>
      <c r="W405">
        <f t="shared" si="83"/>
        <v>4477.2</v>
      </c>
    </row>
    <row r="406" spans="1:23" x14ac:dyDescent="0.35">
      <c r="A406" t="s">
        <v>431</v>
      </c>
      <c r="B406" t="s">
        <v>17</v>
      </c>
      <c r="C406" s="1">
        <v>45181</v>
      </c>
      <c r="D406" s="1">
        <v>45201</v>
      </c>
      <c r="E406" t="s">
        <v>21</v>
      </c>
      <c r="F406" t="s">
        <v>18</v>
      </c>
      <c r="G406">
        <v>1653</v>
      </c>
      <c r="H406">
        <v>102.16</v>
      </c>
      <c r="I406">
        <v>91.91</v>
      </c>
      <c r="J406">
        <v>217</v>
      </c>
      <c r="K406">
        <f t="shared" si="72"/>
        <v>1436</v>
      </c>
      <c r="L406" t="s">
        <v>15</v>
      </c>
      <c r="M406" s="1">
        <f t="shared" si="73"/>
        <v>45201</v>
      </c>
      <c r="N406" t="str">
        <f t="shared" ca="1" si="74"/>
        <v>Net 45</v>
      </c>
      <c r="O406">
        <f t="shared" ca="1" si="75"/>
        <v>45</v>
      </c>
      <c r="P406" s="1">
        <f t="shared" ca="1" si="76"/>
        <v>45246</v>
      </c>
      <c r="Q406" s="1">
        <f t="shared" ca="1" si="77"/>
        <v>45255</v>
      </c>
      <c r="R406">
        <f t="shared" ca="1" si="78"/>
        <v>54</v>
      </c>
      <c r="S406" t="str">
        <f t="shared" ca="1" si="79"/>
        <v>Late</v>
      </c>
      <c r="T406" t="str">
        <f t="shared" ca="1" si="80"/>
        <v>31-60</v>
      </c>
      <c r="U406">
        <f t="shared" ca="1" si="81"/>
        <v>9</v>
      </c>
      <c r="V406" t="str">
        <f t="shared" ca="1" si="82"/>
        <v>Inefficient</v>
      </c>
      <c r="W406">
        <f t="shared" si="83"/>
        <v>151927.22999999998</v>
      </c>
    </row>
    <row r="407" spans="1:23" x14ac:dyDescent="0.35">
      <c r="A407" t="s">
        <v>432</v>
      </c>
      <c r="B407" t="s">
        <v>12</v>
      </c>
      <c r="C407" s="1">
        <v>44777</v>
      </c>
      <c r="D407" s="1">
        <v>44788</v>
      </c>
      <c r="E407" t="s">
        <v>21</v>
      </c>
      <c r="F407" t="s">
        <v>33</v>
      </c>
      <c r="G407">
        <v>850</v>
      </c>
      <c r="H407">
        <v>91.38</v>
      </c>
      <c r="I407">
        <v>88.41</v>
      </c>
      <c r="J407">
        <v>24</v>
      </c>
      <c r="K407">
        <f t="shared" si="72"/>
        <v>826</v>
      </c>
      <c r="L407" t="s">
        <v>15</v>
      </c>
      <c r="M407" s="1">
        <f t="shared" si="73"/>
        <v>44788</v>
      </c>
      <c r="N407" t="str">
        <f t="shared" ca="1" si="74"/>
        <v>Net 30</v>
      </c>
      <c r="O407">
        <f t="shared" ca="1" si="75"/>
        <v>30</v>
      </c>
      <c r="P407" s="1">
        <f t="shared" ca="1" si="76"/>
        <v>44818</v>
      </c>
      <c r="Q407" s="1">
        <f t="shared" ca="1" si="77"/>
        <v>44833</v>
      </c>
      <c r="R407">
        <f t="shared" ca="1" si="78"/>
        <v>45</v>
      </c>
      <c r="S407" t="str">
        <f t="shared" ca="1" si="79"/>
        <v>Late</v>
      </c>
      <c r="T407" t="str">
        <f t="shared" ca="1" si="80"/>
        <v>31-60</v>
      </c>
      <c r="U407">
        <f t="shared" ca="1" si="81"/>
        <v>15</v>
      </c>
      <c r="V407" t="str">
        <f t="shared" ca="1" si="82"/>
        <v>Inefficient</v>
      </c>
      <c r="W407">
        <f t="shared" si="83"/>
        <v>75148.5</v>
      </c>
    </row>
    <row r="408" spans="1:23" x14ac:dyDescent="0.35">
      <c r="A408" t="s">
        <v>433</v>
      </c>
      <c r="B408" t="s">
        <v>29</v>
      </c>
      <c r="C408" s="1">
        <v>44913</v>
      </c>
      <c r="D408" s="1">
        <v>44916</v>
      </c>
      <c r="E408" t="s">
        <v>26</v>
      </c>
      <c r="F408" t="s">
        <v>18</v>
      </c>
      <c r="G408">
        <v>447</v>
      </c>
      <c r="H408">
        <v>59.81</v>
      </c>
      <c r="I408">
        <v>57.92</v>
      </c>
      <c r="J408">
        <v>13</v>
      </c>
      <c r="K408">
        <f t="shared" si="72"/>
        <v>434</v>
      </c>
      <c r="L408" t="s">
        <v>15</v>
      </c>
      <c r="M408" s="1">
        <f t="shared" si="73"/>
        <v>44916</v>
      </c>
      <c r="N408" t="str">
        <f t="shared" ca="1" si="74"/>
        <v>Net 45</v>
      </c>
      <c r="O408">
        <f t="shared" ca="1" si="75"/>
        <v>45</v>
      </c>
      <c r="P408" s="1">
        <f t="shared" ca="1" si="76"/>
        <v>44961</v>
      </c>
      <c r="Q408" s="1">
        <f t="shared" ca="1" si="77"/>
        <v>44974</v>
      </c>
      <c r="R408">
        <f t="shared" ca="1" si="78"/>
        <v>58</v>
      </c>
      <c r="S408" t="str">
        <f t="shared" ca="1" si="79"/>
        <v>Late</v>
      </c>
      <c r="T408" t="str">
        <f t="shared" ca="1" si="80"/>
        <v>31-60</v>
      </c>
      <c r="U408">
        <f t="shared" ca="1" si="81"/>
        <v>13</v>
      </c>
      <c r="V408" t="str">
        <f t="shared" ca="1" si="82"/>
        <v>Inefficient</v>
      </c>
      <c r="W408">
        <f t="shared" si="83"/>
        <v>25890.240000000002</v>
      </c>
    </row>
    <row r="409" spans="1:23" x14ac:dyDescent="0.35">
      <c r="A409" t="s">
        <v>434</v>
      </c>
      <c r="B409" t="s">
        <v>20</v>
      </c>
      <c r="C409" s="1">
        <v>44770</v>
      </c>
      <c r="D409" s="1">
        <v>44780</v>
      </c>
      <c r="E409" t="s">
        <v>13</v>
      </c>
      <c r="F409" t="s">
        <v>18</v>
      </c>
      <c r="G409">
        <v>1350</v>
      </c>
      <c r="H409">
        <v>65.11</v>
      </c>
      <c r="I409">
        <v>56.95</v>
      </c>
      <c r="J409">
        <v>71</v>
      </c>
      <c r="K409">
        <f t="shared" si="72"/>
        <v>1279</v>
      </c>
      <c r="L409" t="s">
        <v>15</v>
      </c>
      <c r="M409" s="1">
        <f t="shared" si="73"/>
        <v>44780</v>
      </c>
      <c r="N409" t="str">
        <f t="shared" ca="1" si="74"/>
        <v>Net 15</v>
      </c>
      <c r="O409">
        <f t="shared" ca="1" si="75"/>
        <v>15</v>
      </c>
      <c r="P409" s="1">
        <f t="shared" ca="1" si="76"/>
        <v>44795</v>
      </c>
      <c r="Q409" s="1">
        <f t="shared" ca="1" si="77"/>
        <v>44797</v>
      </c>
      <c r="R409">
        <f t="shared" ca="1" si="78"/>
        <v>17</v>
      </c>
      <c r="S409" t="str">
        <f t="shared" ca="1" si="79"/>
        <v>Late</v>
      </c>
      <c r="T409" t="str">
        <f t="shared" ca="1" si="80"/>
        <v>0-30</v>
      </c>
      <c r="U409">
        <f t="shared" ca="1" si="81"/>
        <v>2</v>
      </c>
      <c r="V409" t="str">
        <f t="shared" ca="1" si="82"/>
        <v>Inefficient</v>
      </c>
      <c r="W409">
        <f t="shared" si="83"/>
        <v>76882.5</v>
      </c>
    </row>
    <row r="410" spans="1:23" x14ac:dyDescent="0.35">
      <c r="A410" t="s">
        <v>435</v>
      </c>
      <c r="B410" t="s">
        <v>23</v>
      </c>
      <c r="C410" s="1">
        <v>45265</v>
      </c>
      <c r="D410" s="1">
        <v>45284</v>
      </c>
      <c r="E410" t="s">
        <v>13</v>
      </c>
      <c r="F410" t="s">
        <v>18</v>
      </c>
      <c r="G410">
        <v>865</v>
      </c>
      <c r="H410">
        <v>51.19</v>
      </c>
      <c r="I410">
        <v>47.76</v>
      </c>
      <c r="J410">
        <v>83</v>
      </c>
      <c r="K410">
        <f t="shared" si="72"/>
        <v>782</v>
      </c>
      <c r="L410" t="s">
        <v>15</v>
      </c>
      <c r="M410" s="1">
        <f t="shared" si="73"/>
        <v>45284</v>
      </c>
      <c r="N410" t="str">
        <f t="shared" ca="1" si="74"/>
        <v>Net 15</v>
      </c>
      <c r="O410">
        <f t="shared" ca="1" si="75"/>
        <v>15</v>
      </c>
      <c r="P410" s="1">
        <f t="shared" ca="1" si="76"/>
        <v>45299</v>
      </c>
      <c r="Q410" s="1">
        <f t="shared" ca="1" si="77"/>
        <v>45302</v>
      </c>
      <c r="R410">
        <f t="shared" ca="1" si="78"/>
        <v>18</v>
      </c>
      <c r="S410" t="str">
        <f t="shared" ca="1" si="79"/>
        <v>Late</v>
      </c>
      <c r="T410" t="str">
        <f t="shared" ca="1" si="80"/>
        <v>0-30</v>
      </c>
      <c r="U410">
        <f t="shared" ca="1" si="81"/>
        <v>3</v>
      </c>
      <c r="V410" t="str">
        <f t="shared" ca="1" si="82"/>
        <v>Inefficient</v>
      </c>
      <c r="W410">
        <f t="shared" si="83"/>
        <v>41312.400000000001</v>
      </c>
    </row>
    <row r="411" spans="1:23" x14ac:dyDescent="0.35">
      <c r="A411" t="s">
        <v>436</v>
      </c>
      <c r="B411" t="s">
        <v>12</v>
      </c>
      <c r="C411" s="1">
        <v>45211</v>
      </c>
      <c r="D411" s="1">
        <v>45228</v>
      </c>
      <c r="E411" t="s">
        <v>21</v>
      </c>
      <c r="F411" t="s">
        <v>18</v>
      </c>
      <c r="G411">
        <v>1989</v>
      </c>
      <c r="H411">
        <v>16.5</v>
      </c>
      <c r="I411">
        <v>15.89</v>
      </c>
      <c r="J411">
        <v>57</v>
      </c>
      <c r="K411">
        <f t="shared" si="72"/>
        <v>1932</v>
      </c>
      <c r="L411" t="s">
        <v>15</v>
      </c>
      <c r="M411" s="1">
        <f t="shared" si="73"/>
        <v>45228</v>
      </c>
      <c r="N411" t="str">
        <f t="shared" ca="1" si="74"/>
        <v>Net 45</v>
      </c>
      <c r="O411">
        <f t="shared" ca="1" si="75"/>
        <v>45</v>
      </c>
      <c r="P411" s="1">
        <f t="shared" ca="1" si="76"/>
        <v>45273</v>
      </c>
      <c r="Q411" s="1">
        <f t="shared" ca="1" si="77"/>
        <v>45275</v>
      </c>
      <c r="R411">
        <f t="shared" ca="1" si="78"/>
        <v>47</v>
      </c>
      <c r="S411" t="str">
        <f t="shared" ca="1" si="79"/>
        <v>Late</v>
      </c>
      <c r="T411" t="str">
        <f t="shared" ca="1" si="80"/>
        <v>31-60</v>
      </c>
      <c r="U411">
        <f t="shared" ca="1" si="81"/>
        <v>2</v>
      </c>
      <c r="V411" t="str">
        <f t="shared" ca="1" si="82"/>
        <v>Inefficient</v>
      </c>
      <c r="W411">
        <f t="shared" si="83"/>
        <v>31605.210000000003</v>
      </c>
    </row>
    <row r="412" spans="1:23" x14ac:dyDescent="0.35">
      <c r="A412" t="s">
        <v>437</v>
      </c>
      <c r="B412" t="s">
        <v>12</v>
      </c>
      <c r="C412" s="1">
        <v>44832</v>
      </c>
      <c r="D412" s="1">
        <v>44847</v>
      </c>
      <c r="E412" t="s">
        <v>13</v>
      </c>
      <c r="F412" t="s">
        <v>18</v>
      </c>
      <c r="G412">
        <v>1577</v>
      </c>
      <c r="H412">
        <v>41.77</v>
      </c>
      <c r="I412">
        <v>39.58</v>
      </c>
      <c r="J412">
        <v>32</v>
      </c>
      <c r="K412">
        <f t="shared" si="72"/>
        <v>1545</v>
      </c>
      <c r="L412" t="s">
        <v>15</v>
      </c>
      <c r="M412" s="1">
        <f t="shared" si="73"/>
        <v>44847</v>
      </c>
      <c r="N412" t="str">
        <f t="shared" ca="1" si="74"/>
        <v>Net 30</v>
      </c>
      <c r="O412">
        <f t="shared" ca="1" si="75"/>
        <v>30</v>
      </c>
      <c r="P412" s="1">
        <f t="shared" ca="1" si="76"/>
        <v>44877</v>
      </c>
      <c r="Q412" s="1">
        <f t="shared" ca="1" si="77"/>
        <v>44874</v>
      </c>
      <c r="R412">
        <f t="shared" ca="1" si="78"/>
        <v>27</v>
      </c>
      <c r="S412" t="str">
        <f t="shared" ca="1" si="79"/>
        <v>On Time</v>
      </c>
      <c r="T412" t="str">
        <f t="shared" ca="1" si="80"/>
        <v>0-30</v>
      </c>
      <c r="U412">
        <f t="shared" ca="1" si="81"/>
        <v>0</v>
      </c>
      <c r="V412" t="str">
        <f t="shared" ca="1" si="82"/>
        <v>Efficient</v>
      </c>
      <c r="W412">
        <f t="shared" si="83"/>
        <v>62417.659999999996</v>
      </c>
    </row>
    <row r="413" spans="1:23" x14ac:dyDescent="0.35">
      <c r="A413" t="s">
        <v>438</v>
      </c>
      <c r="B413" t="s">
        <v>20</v>
      </c>
      <c r="C413" s="1">
        <v>45079</v>
      </c>
      <c r="D413" s="1">
        <v>45081</v>
      </c>
      <c r="E413" t="s">
        <v>24</v>
      </c>
      <c r="F413" t="s">
        <v>35</v>
      </c>
      <c r="G413">
        <v>1969</v>
      </c>
      <c r="H413">
        <v>89.25</v>
      </c>
      <c r="I413">
        <v>87.28</v>
      </c>
      <c r="J413">
        <v>108</v>
      </c>
      <c r="K413">
        <f t="shared" si="72"/>
        <v>1861</v>
      </c>
      <c r="L413" t="s">
        <v>27</v>
      </c>
      <c r="M413" s="1">
        <f t="shared" si="73"/>
        <v>45081</v>
      </c>
      <c r="N413" t="str">
        <f t="shared" ca="1" si="74"/>
        <v>Net 30</v>
      </c>
      <c r="O413">
        <f t="shared" ca="1" si="75"/>
        <v>30</v>
      </c>
      <c r="P413" s="1">
        <f t="shared" ca="1" si="76"/>
        <v>45111</v>
      </c>
      <c r="Q413" s="1">
        <f t="shared" ca="1" si="77"/>
        <v>45112</v>
      </c>
      <c r="R413">
        <f t="shared" ca="1" si="78"/>
        <v>31</v>
      </c>
      <c r="S413" t="str">
        <f t="shared" ca="1" si="79"/>
        <v>Late</v>
      </c>
      <c r="T413" t="str">
        <f t="shared" ca="1" si="80"/>
        <v>31-60</v>
      </c>
      <c r="U413">
        <f t="shared" ca="1" si="81"/>
        <v>1</v>
      </c>
      <c r="V413" t="str">
        <f t="shared" ca="1" si="82"/>
        <v>Inefficient</v>
      </c>
      <c r="W413">
        <f t="shared" si="83"/>
        <v>171854.32</v>
      </c>
    </row>
    <row r="414" spans="1:23" x14ac:dyDescent="0.35">
      <c r="A414" t="s">
        <v>439</v>
      </c>
      <c r="B414" t="s">
        <v>23</v>
      </c>
      <c r="C414" s="1">
        <v>45062</v>
      </c>
      <c r="D414" s="1">
        <v>45072</v>
      </c>
      <c r="E414" t="s">
        <v>24</v>
      </c>
      <c r="F414" t="s">
        <v>33</v>
      </c>
      <c r="G414">
        <v>1465</v>
      </c>
      <c r="H414">
        <v>11.25</v>
      </c>
      <c r="I414">
        <v>9.61</v>
      </c>
      <c r="J414">
        <v>151</v>
      </c>
      <c r="K414">
        <f t="shared" si="72"/>
        <v>1314</v>
      </c>
      <c r="L414" t="s">
        <v>15</v>
      </c>
      <c r="M414" s="1">
        <f t="shared" si="73"/>
        <v>45072</v>
      </c>
      <c r="N414" t="str">
        <f t="shared" ca="1" si="74"/>
        <v>Net 45</v>
      </c>
      <c r="O414">
        <f t="shared" ca="1" si="75"/>
        <v>45</v>
      </c>
      <c r="P414" s="1">
        <f t="shared" ca="1" si="76"/>
        <v>45117</v>
      </c>
      <c r="Q414" s="1">
        <f t="shared" ca="1" si="77"/>
        <v>45128</v>
      </c>
      <c r="R414">
        <f t="shared" ca="1" si="78"/>
        <v>56</v>
      </c>
      <c r="S414" t="str">
        <f t="shared" ca="1" si="79"/>
        <v>Late</v>
      </c>
      <c r="T414" t="str">
        <f t="shared" ca="1" si="80"/>
        <v>31-60</v>
      </c>
      <c r="U414">
        <f t="shared" ca="1" si="81"/>
        <v>11</v>
      </c>
      <c r="V414" t="str">
        <f t="shared" ca="1" si="82"/>
        <v>Inefficient</v>
      </c>
      <c r="W414">
        <f t="shared" si="83"/>
        <v>14078.65</v>
      </c>
    </row>
    <row r="415" spans="1:23" x14ac:dyDescent="0.35">
      <c r="A415" t="s">
        <v>440</v>
      </c>
      <c r="B415" t="s">
        <v>17</v>
      </c>
      <c r="C415" s="1">
        <v>44819</v>
      </c>
      <c r="D415" s="1">
        <v>44822</v>
      </c>
      <c r="E415" t="s">
        <v>24</v>
      </c>
      <c r="F415" t="s">
        <v>35</v>
      </c>
      <c r="G415">
        <v>1208</v>
      </c>
      <c r="H415">
        <v>41.62</v>
      </c>
      <c r="I415">
        <v>39.46</v>
      </c>
      <c r="K415">
        <f t="shared" si="72"/>
        <v>1208</v>
      </c>
      <c r="L415" t="s">
        <v>15</v>
      </c>
      <c r="M415" s="1">
        <f t="shared" si="73"/>
        <v>44822</v>
      </c>
      <c r="N415" t="str">
        <f t="shared" ca="1" si="74"/>
        <v>Net 45</v>
      </c>
      <c r="O415">
        <f t="shared" ca="1" si="75"/>
        <v>45</v>
      </c>
      <c r="P415" s="1">
        <f t="shared" ca="1" si="76"/>
        <v>44867</v>
      </c>
      <c r="Q415" s="1">
        <f t="shared" ca="1" si="77"/>
        <v>44881</v>
      </c>
      <c r="R415">
        <f t="shared" ca="1" si="78"/>
        <v>59</v>
      </c>
      <c r="S415" t="str">
        <f t="shared" ca="1" si="79"/>
        <v>Late</v>
      </c>
      <c r="T415" t="str">
        <f t="shared" ca="1" si="80"/>
        <v>31-60</v>
      </c>
      <c r="U415">
        <f t="shared" ca="1" si="81"/>
        <v>14</v>
      </c>
      <c r="V415" t="str">
        <f t="shared" ca="1" si="82"/>
        <v>Inefficient</v>
      </c>
      <c r="W415">
        <f t="shared" si="83"/>
        <v>47667.68</v>
      </c>
    </row>
    <row r="416" spans="1:23" x14ac:dyDescent="0.35">
      <c r="A416" t="s">
        <v>441</v>
      </c>
      <c r="B416" t="s">
        <v>23</v>
      </c>
      <c r="C416" s="1">
        <v>44614</v>
      </c>
      <c r="D416" s="1">
        <v>44631</v>
      </c>
      <c r="E416" t="s">
        <v>26</v>
      </c>
      <c r="F416" t="s">
        <v>18</v>
      </c>
      <c r="G416">
        <v>1268</v>
      </c>
      <c r="H416">
        <v>46.06</v>
      </c>
      <c r="I416">
        <v>45.26</v>
      </c>
      <c r="J416">
        <v>123</v>
      </c>
      <c r="K416">
        <f t="shared" si="72"/>
        <v>1145</v>
      </c>
      <c r="L416" t="s">
        <v>15</v>
      </c>
      <c r="M416" s="1">
        <f t="shared" si="73"/>
        <v>44631</v>
      </c>
      <c r="N416" t="str">
        <f t="shared" ca="1" si="74"/>
        <v>Net 45</v>
      </c>
      <c r="O416">
        <f t="shared" ca="1" si="75"/>
        <v>45</v>
      </c>
      <c r="P416" s="1">
        <f t="shared" ca="1" si="76"/>
        <v>44676</v>
      </c>
      <c r="Q416" s="1">
        <f t="shared" ca="1" si="77"/>
        <v>44688</v>
      </c>
      <c r="R416">
        <f t="shared" ca="1" si="78"/>
        <v>57</v>
      </c>
      <c r="S416" t="str">
        <f t="shared" ca="1" si="79"/>
        <v>Late</v>
      </c>
      <c r="T416" t="str">
        <f t="shared" ca="1" si="80"/>
        <v>31-60</v>
      </c>
      <c r="U416">
        <f t="shared" ca="1" si="81"/>
        <v>12</v>
      </c>
      <c r="V416" t="str">
        <f t="shared" ca="1" si="82"/>
        <v>Inefficient</v>
      </c>
      <c r="W416">
        <f t="shared" si="83"/>
        <v>57389.68</v>
      </c>
    </row>
    <row r="417" spans="1:23" x14ac:dyDescent="0.35">
      <c r="A417" t="s">
        <v>442</v>
      </c>
      <c r="B417" t="s">
        <v>17</v>
      </c>
      <c r="C417" s="1">
        <v>44656</v>
      </c>
      <c r="D417" s="1">
        <v>44675</v>
      </c>
      <c r="E417" t="s">
        <v>13</v>
      </c>
      <c r="F417" t="s">
        <v>18</v>
      </c>
      <c r="G417">
        <v>450</v>
      </c>
      <c r="H417">
        <v>59.24</v>
      </c>
      <c r="I417">
        <v>55.03</v>
      </c>
      <c r="J417">
        <v>68</v>
      </c>
      <c r="K417">
        <f t="shared" si="72"/>
        <v>382</v>
      </c>
      <c r="L417" t="s">
        <v>27</v>
      </c>
      <c r="M417" s="1">
        <f t="shared" si="73"/>
        <v>44675</v>
      </c>
      <c r="N417" t="str">
        <f t="shared" ca="1" si="74"/>
        <v>Net 30</v>
      </c>
      <c r="O417">
        <f t="shared" ca="1" si="75"/>
        <v>30</v>
      </c>
      <c r="P417" s="1">
        <f t="shared" ca="1" si="76"/>
        <v>44705</v>
      </c>
      <c r="Q417" s="1">
        <f t="shared" ca="1" si="77"/>
        <v>44711</v>
      </c>
      <c r="R417">
        <f t="shared" ca="1" si="78"/>
        <v>36</v>
      </c>
      <c r="S417" t="str">
        <f t="shared" ca="1" si="79"/>
        <v>Late</v>
      </c>
      <c r="T417" t="str">
        <f t="shared" ca="1" si="80"/>
        <v>31-60</v>
      </c>
      <c r="U417">
        <f t="shared" ca="1" si="81"/>
        <v>6</v>
      </c>
      <c r="V417" t="str">
        <f t="shared" ca="1" si="82"/>
        <v>Inefficient</v>
      </c>
      <c r="W417">
        <f t="shared" si="83"/>
        <v>24763.5</v>
      </c>
    </row>
    <row r="418" spans="1:23" x14ac:dyDescent="0.35">
      <c r="A418" t="s">
        <v>443</v>
      </c>
      <c r="B418" t="s">
        <v>20</v>
      </c>
      <c r="C418" s="1">
        <v>45211</v>
      </c>
      <c r="D418" s="1">
        <v>45213</v>
      </c>
      <c r="E418" t="s">
        <v>39</v>
      </c>
      <c r="F418" t="s">
        <v>33</v>
      </c>
      <c r="G418">
        <v>689</v>
      </c>
      <c r="H418">
        <v>102.53</v>
      </c>
      <c r="I418">
        <v>95.23</v>
      </c>
      <c r="J418">
        <v>38</v>
      </c>
      <c r="K418">
        <f t="shared" si="72"/>
        <v>651</v>
      </c>
      <c r="L418" t="s">
        <v>15</v>
      </c>
      <c r="M418" s="1">
        <f t="shared" si="73"/>
        <v>45213</v>
      </c>
      <c r="N418" t="str">
        <f t="shared" ca="1" si="74"/>
        <v>Net 45</v>
      </c>
      <c r="O418">
        <f t="shared" ca="1" si="75"/>
        <v>45</v>
      </c>
      <c r="P418" s="1">
        <f t="shared" ca="1" si="76"/>
        <v>45258</v>
      </c>
      <c r="Q418" s="1">
        <f t="shared" ca="1" si="77"/>
        <v>45260</v>
      </c>
      <c r="R418">
        <f t="shared" ca="1" si="78"/>
        <v>47</v>
      </c>
      <c r="S418" t="str">
        <f t="shared" ca="1" si="79"/>
        <v>Late</v>
      </c>
      <c r="T418" t="str">
        <f t="shared" ca="1" si="80"/>
        <v>31-60</v>
      </c>
      <c r="U418">
        <f t="shared" ca="1" si="81"/>
        <v>2</v>
      </c>
      <c r="V418" t="str">
        <f t="shared" ca="1" si="82"/>
        <v>Inefficient</v>
      </c>
      <c r="W418">
        <f t="shared" si="83"/>
        <v>65613.47</v>
      </c>
    </row>
    <row r="419" spans="1:23" x14ac:dyDescent="0.35">
      <c r="A419" t="s">
        <v>444</v>
      </c>
      <c r="B419" t="s">
        <v>20</v>
      </c>
      <c r="C419" s="1">
        <v>44995</v>
      </c>
      <c r="D419" s="1">
        <v>45014</v>
      </c>
      <c r="E419" t="s">
        <v>21</v>
      </c>
      <c r="F419" t="s">
        <v>18</v>
      </c>
      <c r="G419">
        <v>1106</v>
      </c>
      <c r="H419">
        <v>44.05</v>
      </c>
      <c r="I419">
        <v>38.6</v>
      </c>
      <c r="J419">
        <v>51</v>
      </c>
      <c r="K419">
        <f t="shared" si="72"/>
        <v>1055</v>
      </c>
      <c r="L419" t="s">
        <v>15</v>
      </c>
      <c r="M419" s="1">
        <f t="shared" si="73"/>
        <v>45014</v>
      </c>
      <c r="N419" t="str">
        <f t="shared" ca="1" si="74"/>
        <v>Net 45</v>
      </c>
      <c r="O419">
        <f t="shared" ca="1" si="75"/>
        <v>45</v>
      </c>
      <c r="P419" s="1">
        <f t="shared" ca="1" si="76"/>
        <v>45059</v>
      </c>
      <c r="Q419" s="1">
        <f t="shared" ca="1" si="77"/>
        <v>45058</v>
      </c>
      <c r="R419">
        <f t="shared" ca="1" si="78"/>
        <v>44</v>
      </c>
      <c r="S419" t="str">
        <f t="shared" ca="1" si="79"/>
        <v>On Time</v>
      </c>
      <c r="T419" t="str">
        <f t="shared" ca="1" si="80"/>
        <v>31-60</v>
      </c>
      <c r="U419">
        <f t="shared" ca="1" si="81"/>
        <v>0</v>
      </c>
      <c r="V419" t="str">
        <f t="shared" ca="1" si="82"/>
        <v>Efficient</v>
      </c>
      <c r="W419">
        <f t="shared" si="83"/>
        <v>42691.6</v>
      </c>
    </row>
    <row r="420" spans="1:23" x14ac:dyDescent="0.35">
      <c r="A420" t="s">
        <v>445</v>
      </c>
      <c r="B420" t="s">
        <v>12</v>
      </c>
      <c r="C420" s="1">
        <v>44845</v>
      </c>
      <c r="D420" s="1">
        <v>44856</v>
      </c>
      <c r="E420" t="s">
        <v>13</v>
      </c>
      <c r="F420" t="s">
        <v>18</v>
      </c>
      <c r="G420">
        <v>737</v>
      </c>
      <c r="H420">
        <v>43.08</v>
      </c>
      <c r="I420">
        <v>42.58</v>
      </c>
      <c r="J420">
        <v>21</v>
      </c>
      <c r="K420">
        <f t="shared" si="72"/>
        <v>716</v>
      </c>
      <c r="L420" t="s">
        <v>15</v>
      </c>
      <c r="M420" s="1">
        <f t="shared" si="73"/>
        <v>44856</v>
      </c>
      <c r="N420" t="str">
        <f t="shared" ca="1" si="74"/>
        <v>Net 45</v>
      </c>
      <c r="O420">
        <f t="shared" ca="1" si="75"/>
        <v>45</v>
      </c>
      <c r="P420" s="1">
        <f t="shared" ca="1" si="76"/>
        <v>44901</v>
      </c>
      <c r="Q420" s="1">
        <f t="shared" ca="1" si="77"/>
        <v>44900</v>
      </c>
      <c r="R420">
        <f t="shared" ca="1" si="78"/>
        <v>44</v>
      </c>
      <c r="S420" t="str">
        <f t="shared" ca="1" si="79"/>
        <v>On Time</v>
      </c>
      <c r="T420" t="str">
        <f t="shared" ca="1" si="80"/>
        <v>31-60</v>
      </c>
      <c r="U420">
        <f t="shared" ca="1" si="81"/>
        <v>0</v>
      </c>
      <c r="V420" t="str">
        <f t="shared" ca="1" si="82"/>
        <v>Efficient</v>
      </c>
      <c r="W420">
        <f t="shared" si="83"/>
        <v>31381.46</v>
      </c>
    </row>
    <row r="421" spans="1:23" x14ac:dyDescent="0.35">
      <c r="A421" t="s">
        <v>446</v>
      </c>
      <c r="B421" t="s">
        <v>12</v>
      </c>
      <c r="C421" s="1">
        <v>44607</v>
      </c>
      <c r="D421" s="1">
        <v>44624</v>
      </c>
      <c r="E421" t="s">
        <v>26</v>
      </c>
      <c r="F421" t="s">
        <v>18</v>
      </c>
      <c r="G421">
        <v>509</v>
      </c>
      <c r="H421">
        <v>76.760000000000005</v>
      </c>
      <c r="I421">
        <v>74.72</v>
      </c>
      <c r="J421">
        <v>7</v>
      </c>
      <c r="K421">
        <f t="shared" si="72"/>
        <v>502</v>
      </c>
      <c r="L421" t="s">
        <v>27</v>
      </c>
      <c r="M421" s="1">
        <f t="shared" si="73"/>
        <v>44624</v>
      </c>
      <c r="N421" t="str">
        <f t="shared" ca="1" si="74"/>
        <v>Net 30</v>
      </c>
      <c r="O421">
        <f t="shared" ca="1" si="75"/>
        <v>30</v>
      </c>
      <c r="P421" s="1">
        <f t="shared" ca="1" si="76"/>
        <v>44654</v>
      </c>
      <c r="Q421" s="1">
        <f t="shared" ca="1" si="77"/>
        <v>44664</v>
      </c>
      <c r="R421">
        <f t="shared" ca="1" si="78"/>
        <v>40</v>
      </c>
      <c r="S421" t="str">
        <f t="shared" ca="1" si="79"/>
        <v>Late</v>
      </c>
      <c r="T421" t="str">
        <f t="shared" ca="1" si="80"/>
        <v>31-60</v>
      </c>
      <c r="U421">
        <f t="shared" ca="1" si="81"/>
        <v>10</v>
      </c>
      <c r="V421" t="str">
        <f t="shared" ca="1" si="82"/>
        <v>Inefficient</v>
      </c>
      <c r="W421">
        <f t="shared" si="83"/>
        <v>38032.479999999996</v>
      </c>
    </row>
    <row r="422" spans="1:23" x14ac:dyDescent="0.35">
      <c r="A422" t="s">
        <v>447</v>
      </c>
      <c r="B422" t="s">
        <v>12</v>
      </c>
      <c r="C422" s="1">
        <v>44565</v>
      </c>
      <c r="D422" s="1">
        <v>44567</v>
      </c>
      <c r="E422" t="s">
        <v>39</v>
      </c>
      <c r="F422" t="s">
        <v>18</v>
      </c>
      <c r="G422">
        <v>1004</v>
      </c>
      <c r="H422">
        <v>50.7</v>
      </c>
      <c r="I422">
        <v>46.59</v>
      </c>
      <c r="J422">
        <v>27</v>
      </c>
      <c r="K422">
        <f t="shared" si="72"/>
        <v>977</v>
      </c>
      <c r="L422" t="s">
        <v>15</v>
      </c>
      <c r="M422" s="1">
        <f t="shared" si="73"/>
        <v>44567</v>
      </c>
      <c r="N422" t="str">
        <f t="shared" ca="1" si="74"/>
        <v>Net 30</v>
      </c>
      <c r="O422">
        <f t="shared" ca="1" si="75"/>
        <v>30</v>
      </c>
      <c r="P422" s="1">
        <f t="shared" ca="1" si="76"/>
        <v>44597</v>
      </c>
      <c r="Q422" s="1">
        <f t="shared" ca="1" si="77"/>
        <v>44617</v>
      </c>
      <c r="R422">
        <f t="shared" ca="1" si="78"/>
        <v>50</v>
      </c>
      <c r="S422" t="str">
        <f t="shared" ca="1" si="79"/>
        <v>Late</v>
      </c>
      <c r="T422" t="str">
        <f t="shared" ca="1" si="80"/>
        <v>31-60</v>
      </c>
      <c r="U422">
        <f t="shared" ca="1" si="81"/>
        <v>20</v>
      </c>
      <c r="V422" t="str">
        <f t="shared" ca="1" si="82"/>
        <v>Inefficient</v>
      </c>
      <c r="W422">
        <f t="shared" si="83"/>
        <v>46776.36</v>
      </c>
    </row>
    <row r="423" spans="1:23" x14ac:dyDescent="0.35">
      <c r="A423" t="s">
        <v>448</v>
      </c>
      <c r="B423" t="s">
        <v>20</v>
      </c>
      <c r="C423" s="1">
        <v>44903</v>
      </c>
      <c r="D423" s="1">
        <v>44914</v>
      </c>
      <c r="E423" t="s">
        <v>21</v>
      </c>
      <c r="F423" t="s">
        <v>35</v>
      </c>
      <c r="G423">
        <v>1956</v>
      </c>
      <c r="H423">
        <v>31.88</v>
      </c>
      <c r="I423">
        <v>28.48</v>
      </c>
      <c r="J423">
        <v>86</v>
      </c>
      <c r="K423">
        <f t="shared" si="72"/>
        <v>1870</v>
      </c>
      <c r="L423" t="s">
        <v>15</v>
      </c>
      <c r="M423" s="1">
        <f t="shared" si="73"/>
        <v>44914</v>
      </c>
      <c r="N423" t="str">
        <f t="shared" ca="1" si="74"/>
        <v>Net 45</v>
      </c>
      <c r="O423">
        <f t="shared" ca="1" si="75"/>
        <v>45</v>
      </c>
      <c r="P423" s="1">
        <f t="shared" ca="1" si="76"/>
        <v>44959</v>
      </c>
      <c r="Q423" s="1">
        <f t="shared" ca="1" si="77"/>
        <v>44974</v>
      </c>
      <c r="R423">
        <f t="shared" ca="1" si="78"/>
        <v>60</v>
      </c>
      <c r="S423" t="str">
        <f t="shared" ca="1" si="79"/>
        <v>Late</v>
      </c>
      <c r="T423" t="str">
        <f t="shared" ca="1" si="80"/>
        <v>31-60</v>
      </c>
      <c r="U423">
        <f t="shared" ca="1" si="81"/>
        <v>15</v>
      </c>
      <c r="V423" t="str">
        <f t="shared" ca="1" si="82"/>
        <v>Inefficient</v>
      </c>
      <c r="W423">
        <f t="shared" si="83"/>
        <v>55706.879999999997</v>
      </c>
    </row>
    <row r="424" spans="1:23" x14ac:dyDescent="0.35">
      <c r="A424" t="s">
        <v>449</v>
      </c>
      <c r="B424" t="s">
        <v>17</v>
      </c>
      <c r="C424" s="1">
        <v>44695</v>
      </c>
      <c r="E424" t="s">
        <v>39</v>
      </c>
      <c r="F424" t="s">
        <v>18</v>
      </c>
      <c r="G424">
        <v>519</v>
      </c>
      <c r="H424">
        <v>51.73</v>
      </c>
      <c r="I424">
        <v>47.52</v>
      </c>
      <c r="J424">
        <v>81</v>
      </c>
      <c r="K424">
        <f t="shared" si="72"/>
        <v>438</v>
      </c>
      <c r="L424" t="s">
        <v>27</v>
      </c>
      <c r="M424" s="1">
        <f t="shared" si="73"/>
        <v>0</v>
      </c>
      <c r="N424" t="str">
        <f t="shared" ca="1" si="74"/>
        <v>Net 45</v>
      </c>
      <c r="O424">
        <f t="shared" ca="1" si="75"/>
        <v>45</v>
      </c>
      <c r="P424" s="1">
        <f t="shared" ca="1" si="76"/>
        <v>45</v>
      </c>
      <c r="Q424" s="1">
        <f t="shared" ca="1" si="77"/>
        <v>53</v>
      </c>
      <c r="R424">
        <f t="shared" ca="1" si="78"/>
        <v>53</v>
      </c>
      <c r="S424" t="str">
        <f t="shared" ca="1" si="79"/>
        <v>Late</v>
      </c>
      <c r="T424" t="str">
        <f t="shared" ca="1" si="80"/>
        <v>31-60</v>
      </c>
      <c r="U424">
        <f t="shared" ca="1" si="81"/>
        <v>8</v>
      </c>
      <c r="V424" t="str">
        <f t="shared" ca="1" si="82"/>
        <v>Inefficient</v>
      </c>
      <c r="W424">
        <f t="shared" si="83"/>
        <v>24662.880000000001</v>
      </c>
    </row>
    <row r="425" spans="1:23" x14ac:dyDescent="0.35">
      <c r="A425" t="s">
        <v>450</v>
      </c>
      <c r="B425" t="s">
        <v>20</v>
      </c>
      <c r="C425" s="1">
        <v>45214</v>
      </c>
      <c r="D425" s="1">
        <v>45220</v>
      </c>
      <c r="E425" t="s">
        <v>21</v>
      </c>
      <c r="F425" t="s">
        <v>33</v>
      </c>
      <c r="G425">
        <v>1448</v>
      </c>
      <c r="H425">
        <v>25.06</v>
      </c>
      <c r="I425">
        <v>21.62</v>
      </c>
      <c r="J425">
        <v>84</v>
      </c>
      <c r="K425">
        <f t="shared" si="72"/>
        <v>1364</v>
      </c>
      <c r="L425" t="s">
        <v>15</v>
      </c>
      <c r="M425" s="1">
        <f t="shared" si="73"/>
        <v>45220</v>
      </c>
      <c r="N425" t="str">
        <f t="shared" ca="1" si="74"/>
        <v>Net 45</v>
      </c>
      <c r="O425">
        <f t="shared" ca="1" si="75"/>
        <v>45</v>
      </c>
      <c r="P425" s="1">
        <f t="shared" ca="1" si="76"/>
        <v>45265</v>
      </c>
      <c r="Q425" s="1">
        <f t="shared" ca="1" si="77"/>
        <v>45271</v>
      </c>
      <c r="R425">
        <f t="shared" ca="1" si="78"/>
        <v>51</v>
      </c>
      <c r="S425" t="str">
        <f t="shared" ca="1" si="79"/>
        <v>Late</v>
      </c>
      <c r="T425" t="str">
        <f t="shared" ca="1" si="80"/>
        <v>31-60</v>
      </c>
      <c r="U425">
        <f t="shared" ca="1" si="81"/>
        <v>6</v>
      </c>
      <c r="V425" t="str">
        <f t="shared" ca="1" si="82"/>
        <v>Inefficient</v>
      </c>
      <c r="W425">
        <f t="shared" si="83"/>
        <v>31305.760000000002</v>
      </c>
    </row>
    <row r="426" spans="1:23" x14ac:dyDescent="0.35">
      <c r="A426" t="s">
        <v>451</v>
      </c>
      <c r="B426" t="s">
        <v>20</v>
      </c>
      <c r="C426" s="1">
        <v>44830</v>
      </c>
      <c r="D426" s="1">
        <v>44845</v>
      </c>
      <c r="E426" t="s">
        <v>24</v>
      </c>
      <c r="F426" t="s">
        <v>18</v>
      </c>
      <c r="G426">
        <v>1095</v>
      </c>
      <c r="H426">
        <v>26.91</v>
      </c>
      <c r="I426">
        <v>23.75</v>
      </c>
      <c r="J426">
        <v>53</v>
      </c>
      <c r="K426">
        <f t="shared" si="72"/>
        <v>1042</v>
      </c>
      <c r="L426" t="s">
        <v>15</v>
      </c>
      <c r="M426" s="1">
        <f t="shared" si="73"/>
        <v>44845</v>
      </c>
      <c r="N426" t="str">
        <f t="shared" ca="1" si="74"/>
        <v>Net 45</v>
      </c>
      <c r="O426">
        <f t="shared" ca="1" si="75"/>
        <v>45</v>
      </c>
      <c r="P426" s="1">
        <f t="shared" ca="1" si="76"/>
        <v>44890</v>
      </c>
      <c r="Q426" s="1">
        <f t="shared" ca="1" si="77"/>
        <v>44908</v>
      </c>
      <c r="R426">
        <f t="shared" ca="1" si="78"/>
        <v>63</v>
      </c>
      <c r="S426" t="str">
        <f t="shared" ca="1" si="79"/>
        <v>Late</v>
      </c>
      <c r="T426" t="str">
        <f t="shared" ca="1" si="80"/>
        <v>61-90</v>
      </c>
      <c r="U426">
        <f t="shared" ca="1" si="81"/>
        <v>18</v>
      </c>
      <c r="V426" t="str">
        <f t="shared" ca="1" si="82"/>
        <v>Inefficient</v>
      </c>
      <c r="W426">
        <f t="shared" si="83"/>
        <v>26006.25</v>
      </c>
    </row>
    <row r="427" spans="1:23" x14ac:dyDescent="0.35">
      <c r="A427" t="s">
        <v>452</v>
      </c>
      <c r="B427" t="s">
        <v>12</v>
      </c>
      <c r="C427" s="1">
        <v>44727</v>
      </c>
      <c r="E427" t="s">
        <v>21</v>
      </c>
      <c r="F427" t="s">
        <v>18</v>
      </c>
      <c r="G427">
        <v>799</v>
      </c>
      <c r="H427">
        <v>56.22</v>
      </c>
      <c r="I427">
        <v>49.51</v>
      </c>
      <c r="J427">
        <v>18</v>
      </c>
      <c r="K427">
        <f t="shared" si="72"/>
        <v>781</v>
      </c>
      <c r="L427" t="s">
        <v>15</v>
      </c>
      <c r="M427" s="1">
        <f t="shared" si="73"/>
        <v>0</v>
      </c>
      <c r="N427" t="str">
        <f t="shared" ca="1" si="74"/>
        <v>Net 30</v>
      </c>
      <c r="O427">
        <f t="shared" ca="1" si="75"/>
        <v>30</v>
      </c>
      <c r="P427" s="1">
        <f t="shared" ca="1" si="76"/>
        <v>30</v>
      </c>
      <c r="Q427" s="1">
        <f t="shared" ca="1" si="77"/>
        <v>39</v>
      </c>
      <c r="R427">
        <f t="shared" ca="1" si="78"/>
        <v>39</v>
      </c>
      <c r="S427" t="str">
        <f t="shared" ca="1" si="79"/>
        <v>Late</v>
      </c>
      <c r="T427" t="str">
        <f t="shared" ca="1" si="80"/>
        <v>31-60</v>
      </c>
      <c r="U427">
        <f t="shared" ca="1" si="81"/>
        <v>9</v>
      </c>
      <c r="V427" t="str">
        <f t="shared" ca="1" si="82"/>
        <v>Inefficient</v>
      </c>
      <c r="W427">
        <f t="shared" si="83"/>
        <v>39558.49</v>
      </c>
    </row>
    <row r="428" spans="1:23" x14ac:dyDescent="0.35">
      <c r="A428" t="s">
        <v>453</v>
      </c>
      <c r="B428" t="s">
        <v>23</v>
      </c>
      <c r="C428" s="1">
        <v>45014</v>
      </c>
      <c r="D428" s="1">
        <v>45034</v>
      </c>
      <c r="E428" t="s">
        <v>21</v>
      </c>
      <c r="F428" t="s">
        <v>33</v>
      </c>
      <c r="G428">
        <v>1743</v>
      </c>
      <c r="H428">
        <v>51.04</v>
      </c>
      <c r="I428">
        <v>47.15</v>
      </c>
      <c r="J428">
        <v>160</v>
      </c>
      <c r="K428">
        <f t="shared" si="72"/>
        <v>1583</v>
      </c>
      <c r="L428" t="s">
        <v>15</v>
      </c>
      <c r="M428" s="1">
        <f t="shared" si="73"/>
        <v>45034</v>
      </c>
      <c r="N428" t="str">
        <f t="shared" ca="1" si="74"/>
        <v>Net 45</v>
      </c>
      <c r="O428">
        <f t="shared" ca="1" si="75"/>
        <v>45</v>
      </c>
      <c r="P428" s="1">
        <f t="shared" ca="1" si="76"/>
        <v>45079</v>
      </c>
      <c r="Q428" s="1">
        <f t="shared" ca="1" si="77"/>
        <v>45075</v>
      </c>
      <c r="R428">
        <f t="shared" ca="1" si="78"/>
        <v>41</v>
      </c>
      <c r="S428" t="str">
        <f t="shared" ca="1" si="79"/>
        <v>On Time</v>
      </c>
      <c r="T428" t="str">
        <f t="shared" ca="1" si="80"/>
        <v>31-60</v>
      </c>
      <c r="U428">
        <f t="shared" ca="1" si="81"/>
        <v>0</v>
      </c>
      <c r="V428" t="str">
        <f t="shared" ca="1" si="82"/>
        <v>Efficient</v>
      </c>
      <c r="W428">
        <f t="shared" si="83"/>
        <v>82182.45</v>
      </c>
    </row>
    <row r="429" spans="1:23" x14ac:dyDescent="0.35">
      <c r="A429" t="s">
        <v>454</v>
      </c>
      <c r="B429" t="s">
        <v>12</v>
      </c>
      <c r="C429" s="1">
        <v>45126</v>
      </c>
      <c r="D429" s="1">
        <v>45138</v>
      </c>
      <c r="E429" t="s">
        <v>26</v>
      </c>
      <c r="F429" t="s">
        <v>18</v>
      </c>
      <c r="G429">
        <v>87</v>
      </c>
      <c r="H429">
        <v>100.65</v>
      </c>
      <c r="I429">
        <v>85.56</v>
      </c>
      <c r="J429">
        <v>1</v>
      </c>
      <c r="K429">
        <f t="shared" si="72"/>
        <v>86</v>
      </c>
      <c r="L429" t="s">
        <v>15</v>
      </c>
      <c r="M429" s="1">
        <f t="shared" si="73"/>
        <v>45138</v>
      </c>
      <c r="N429" t="str">
        <f t="shared" ca="1" si="74"/>
        <v>Net 45</v>
      </c>
      <c r="O429">
        <f t="shared" ca="1" si="75"/>
        <v>45</v>
      </c>
      <c r="P429" s="1">
        <f t="shared" ca="1" si="76"/>
        <v>45183</v>
      </c>
      <c r="Q429" s="1">
        <f t="shared" ca="1" si="77"/>
        <v>45198</v>
      </c>
      <c r="R429">
        <f t="shared" ca="1" si="78"/>
        <v>60</v>
      </c>
      <c r="S429" t="str">
        <f t="shared" ca="1" si="79"/>
        <v>Late</v>
      </c>
      <c r="T429" t="str">
        <f t="shared" ca="1" si="80"/>
        <v>31-60</v>
      </c>
      <c r="U429">
        <f t="shared" ca="1" si="81"/>
        <v>15</v>
      </c>
      <c r="V429" t="str">
        <f t="shared" ca="1" si="82"/>
        <v>Inefficient</v>
      </c>
      <c r="W429">
        <f t="shared" si="83"/>
        <v>7443.72</v>
      </c>
    </row>
    <row r="430" spans="1:23" x14ac:dyDescent="0.35">
      <c r="A430" t="s">
        <v>455</v>
      </c>
      <c r="B430" t="s">
        <v>23</v>
      </c>
      <c r="C430" s="1">
        <v>45284</v>
      </c>
      <c r="E430" t="s">
        <v>26</v>
      </c>
      <c r="F430" t="s">
        <v>18</v>
      </c>
      <c r="G430">
        <v>279</v>
      </c>
      <c r="H430">
        <v>47.52</v>
      </c>
      <c r="I430">
        <v>46.5</v>
      </c>
      <c r="J430">
        <v>28</v>
      </c>
      <c r="K430">
        <f t="shared" si="72"/>
        <v>251</v>
      </c>
      <c r="L430" t="s">
        <v>27</v>
      </c>
      <c r="M430" s="1">
        <f t="shared" si="73"/>
        <v>0</v>
      </c>
      <c r="N430" t="str">
        <f t="shared" ca="1" si="74"/>
        <v>Net 30</v>
      </c>
      <c r="O430">
        <f t="shared" ca="1" si="75"/>
        <v>30</v>
      </c>
      <c r="P430" s="1">
        <f t="shared" ca="1" si="76"/>
        <v>30</v>
      </c>
      <c r="Q430" s="1">
        <f t="shared" ca="1" si="77"/>
        <v>38</v>
      </c>
      <c r="R430">
        <f t="shared" ca="1" si="78"/>
        <v>38</v>
      </c>
      <c r="S430" t="str">
        <f t="shared" ca="1" si="79"/>
        <v>Late</v>
      </c>
      <c r="T430" t="str">
        <f t="shared" ca="1" si="80"/>
        <v>31-60</v>
      </c>
      <c r="U430">
        <f t="shared" ca="1" si="81"/>
        <v>8</v>
      </c>
      <c r="V430" t="str">
        <f t="shared" ca="1" si="82"/>
        <v>Inefficient</v>
      </c>
      <c r="W430">
        <f t="shared" si="83"/>
        <v>12973.5</v>
      </c>
    </row>
    <row r="431" spans="1:23" x14ac:dyDescent="0.35">
      <c r="A431" t="s">
        <v>456</v>
      </c>
      <c r="B431" t="s">
        <v>17</v>
      </c>
      <c r="C431" s="1">
        <v>44999</v>
      </c>
      <c r="D431" s="1">
        <v>45010</v>
      </c>
      <c r="E431" t="s">
        <v>26</v>
      </c>
      <c r="F431" t="s">
        <v>18</v>
      </c>
      <c r="G431">
        <v>1438</v>
      </c>
      <c r="H431">
        <v>66.61</v>
      </c>
      <c r="I431">
        <v>58.5</v>
      </c>
      <c r="J431">
        <v>237</v>
      </c>
      <c r="K431">
        <f t="shared" si="72"/>
        <v>1201</v>
      </c>
      <c r="L431" t="s">
        <v>15</v>
      </c>
      <c r="M431" s="1">
        <f t="shared" si="73"/>
        <v>45010</v>
      </c>
      <c r="N431" t="str">
        <f t="shared" ca="1" si="74"/>
        <v>Net 30</v>
      </c>
      <c r="O431">
        <f t="shared" ca="1" si="75"/>
        <v>30</v>
      </c>
      <c r="P431" s="1">
        <f t="shared" ca="1" si="76"/>
        <v>45040</v>
      </c>
      <c r="Q431" s="1">
        <f t="shared" ca="1" si="77"/>
        <v>45051</v>
      </c>
      <c r="R431">
        <f t="shared" ca="1" si="78"/>
        <v>41</v>
      </c>
      <c r="S431" t="str">
        <f t="shared" ca="1" si="79"/>
        <v>Late</v>
      </c>
      <c r="T431" t="str">
        <f t="shared" ca="1" si="80"/>
        <v>31-60</v>
      </c>
      <c r="U431">
        <f t="shared" ca="1" si="81"/>
        <v>11</v>
      </c>
      <c r="V431" t="str">
        <f t="shared" ca="1" si="82"/>
        <v>Inefficient</v>
      </c>
      <c r="W431">
        <f t="shared" si="83"/>
        <v>84123</v>
      </c>
    </row>
    <row r="432" spans="1:23" x14ac:dyDescent="0.35">
      <c r="A432" t="s">
        <v>457</v>
      </c>
      <c r="B432" t="s">
        <v>17</v>
      </c>
      <c r="C432" s="1">
        <v>45136</v>
      </c>
      <c r="D432" s="1">
        <v>45138</v>
      </c>
      <c r="E432" t="s">
        <v>13</v>
      </c>
      <c r="F432" t="s">
        <v>33</v>
      </c>
      <c r="G432">
        <v>612</v>
      </c>
      <c r="H432">
        <v>72.930000000000007</v>
      </c>
      <c r="I432">
        <v>63.32</v>
      </c>
      <c r="J432">
        <v>99</v>
      </c>
      <c r="K432">
        <f t="shared" si="72"/>
        <v>513</v>
      </c>
      <c r="L432" t="s">
        <v>15</v>
      </c>
      <c r="M432" s="1">
        <f t="shared" si="73"/>
        <v>45138</v>
      </c>
      <c r="N432" t="str">
        <f t="shared" ca="1" si="74"/>
        <v>Net 30</v>
      </c>
      <c r="O432">
        <f t="shared" ca="1" si="75"/>
        <v>30</v>
      </c>
      <c r="P432" s="1">
        <f t="shared" ca="1" si="76"/>
        <v>45168</v>
      </c>
      <c r="Q432" s="1">
        <f t="shared" ca="1" si="77"/>
        <v>45177</v>
      </c>
      <c r="R432">
        <f t="shared" ca="1" si="78"/>
        <v>39</v>
      </c>
      <c r="S432" t="str">
        <f t="shared" ca="1" si="79"/>
        <v>Late</v>
      </c>
      <c r="T432" t="str">
        <f t="shared" ca="1" si="80"/>
        <v>31-60</v>
      </c>
      <c r="U432">
        <f t="shared" ca="1" si="81"/>
        <v>9</v>
      </c>
      <c r="V432" t="str">
        <f t="shared" ca="1" si="82"/>
        <v>Inefficient</v>
      </c>
      <c r="W432">
        <f t="shared" si="83"/>
        <v>38751.840000000004</v>
      </c>
    </row>
    <row r="433" spans="1:23" x14ac:dyDescent="0.35">
      <c r="A433" t="s">
        <v>458</v>
      </c>
      <c r="B433" t="s">
        <v>29</v>
      </c>
      <c r="C433" s="1">
        <v>44571</v>
      </c>
      <c r="D433" s="1">
        <v>44582</v>
      </c>
      <c r="E433" t="s">
        <v>24</v>
      </c>
      <c r="F433" t="s">
        <v>35</v>
      </c>
      <c r="G433">
        <v>487</v>
      </c>
      <c r="H433">
        <v>11.18</v>
      </c>
      <c r="I433">
        <v>10.63</v>
      </c>
      <c r="J433">
        <v>15</v>
      </c>
      <c r="K433">
        <f t="shared" si="72"/>
        <v>472</v>
      </c>
      <c r="L433" t="s">
        <v>15</v>
      </c>
      <c r="M433" s="1">
        <f t="shared" si="73"/>
        <v>44582</v>
      </c>
      <c r="N433" t="str">
        <f t="shared" ca="1" si="74"/>
        <v>Net 45</v>
      </c>
      <c r="O433">
        <f t="shared" ca="1" si="75"/>
        <v>45</v>
      </c>
      <c r="P433" s="1">
        <f t="shared" ca="1" si="76"/>
        <v>44627</v>
      </c>
      <c r="Q433" s="1">
        <f t="shared" ca="1" si="77"/>
        <v>44632</v>
      </c>
      <c r="R433">
        <f t="shared" ca="1" si="78"/>
        <v>50</v>
      </c>
      <c r="S433" t="str">
        <f t="shared" ca="1" si="79"/>
        <v>Late</v>
      </c>
      <c r="T433" t="str">
        <f t="shared" ca="1" si="80"/>
        <v>31-60</v>
      </c>
      <c r="U433">
        <f t="shared" ca="1" si="81"/>
        <v>5</v>
      </c>
      <c r="V433" t="str">
        <f t="shared" ca="1" si="82"/>
        <v>Inefficient</v>
      </c>
      <c r="W433">
        <f t="shared" si="83"/>
        <v>5176.8100000000004</v>
      </c>
    </row>
    <row r="434" spans="1:23" x14ac:dyDescent="0.35">
      <c r="A434" t="s">
        <v>459</v>
      </c>
      <c r="B434" t="s">
        <v>29</v>
      </c>
      <c r="C434" s="1">
        <v>44676</v>
      </c>
      <c r="D434" s="1">
        <v>44680</v>
      </c>
      <c r="E434" t="s">
        <v>24</v>
      </c>
      <c r="F434" t="s">
        <v>33</v>
      </c>
      <c r="G434">
        <v>1849</v>
      </c>
      <c r="H434">
        <v>70.760000000000005</v>
      </c>
      <c r="I434">
        <v>69.25</v>
      </c>
      <c r="J434">
        <v>51</v>
      </c>
      <c r="K434">
        <f t="shared" si="72"/>
        <v>1798</v>
      </c>
      <c r="L434" t="s">
        <v>15</v>
      </c>
      <c r="M434" s="1">
        <f t="shared" si="73"/>
        <v>44680</v>
      </c>
      <c r="N434" t="str">
        <f t="shared" ca="1" si="74"/>
        <v>Net 45</v>
      </c>
      <c r="O434">
        <f t="shared" ca="1" si="75"/>
        <v>45</v>
      </c>
      <c r="P434" s="1">
        <f t="shared" ca="1" si="76"/>
        <v>44725</v>
      </c>
      <c r="Q434" s="1">
        <f t="shared" ca="1" si="77"/>
        <v>44740</v>
      </c>
      <c r="R434">
        <f t="shared" ca="1" si="78"/>
        <v>60</v>
      </c>
      <c r="S434" t="str">
        <f t="shared" ca="1" si="79"/>
        <v>Late</v>
      </c>
      <c r="T434" t="str">
        <f t="shared" ca="1" si="80"/>
        <v>31-60</v>
      </c>
      <c r="U434">
        <f t="shared" ca="1" si="81"/>
        <v>15</v>
      </c>
      <c r="V434" t="str">
        <f t="shared" ca="1" si="82"/>
        <v>Inefficient</v>
      </c>
      <c r="W434">
        <f t="shared" si="83"/>
        <v>128043.25</v>
      </c>
    </row>
    <row r="435" spans="1:23" x14ac:dyDescent="0.35">
      <c r="A435" t="s">
        <v>460</v>
      </c>
      <c r="B435" t="s">
        <v>29</v>
      </c>
      <c r="C435" s="1">
        <v>44639</v>
      </c>
      <c r="D435" s="1">
        <v>44652</v>
      </c>
      <c r="E435" t="s">
        <v>21</v>
      </c>
      <c r="F435" t="s">
        <v>33</v>
      </c>
      <c r="G435">
        <v>1356</v>
      </c>
      <c r="H435">
        <v>26.28</v>
      </c>
      <c r="I435">
        <v>25.44</v>
      </c>
      <c r="J435">
        <v>47</v>
      </c>
      <c r="K435">
        <f t="shared" si="72"/>
        <v>1309</v>
      </c>
      <c r="L435" t="s">
        <v>15</v>
      </c>
      <c r="M435" s="1">
        <f t="shared" si="73"/>
        <v>44652</v>
      </c>
      <c r="N435" t="str">
        <f t="shared" ca="1" si="74"/>
        <v>Net 45</v>
      </c>
      <c r="O435">
        <f t="shared" ca="1" si="75"/>
        <v>45</v>
      </c>
      <c r="P435" s="1">
        <f t="shared" ca="1" si="76"/>
        <v>44697</v>
      </c>
      <c r="Q435" s="1">
        <f t="shared" ca="1" si="77"/>
        <v>44694</v>
      </c>
      <c r="R435">
        <f t="shared" ca="1" si="78"/>
        <v>42</v>
      </c>
      <c r="S435" t="str">
        <f t="shared" ca="1" si="79"/>
        <v>On Time</v>
      </c>
      <c r="T435" t="str">
        <f t="shared" ca="1" si="80"/>
        <v>31-60</v>
      </c>
      <c r="U435">
        <f t="shared" ca="1" si="81"/>
        <v>0</v>
      </c>
      <c r="V435" t="str">
        <f t="shared" ca="1" si="82"/>
        <v>Efficient</v>
      </c>
      <c r="W435">
        <f t="shared" si="83"/>
        <v>34496.639999999999</v>
      </c>
    </row>
    <row r="436" spans="1:23" x14ac:dyDescent="0.35">
      <c r="A436" t="s">
        <v>461</v>
      </c>
      <c r="B436" t="s">
        <v>17</v>
      </c>
      <c r="C436" s="1">
        <v>45269</v>
      </c>
      <c r="D436" s="1">
        <v>45289</v>
      </c>
      <c r="E436" t="s">
        <v>26</v>
      </c>
      <c r="F436" t="s">
        <v>18</v>
      </c>
      <c r="G436">
        <v>76</v>
      </c>
      <c r="H436">
        <v>107.59</v>
      </c>
      <c r="I436">
        <v>96.33</v>
      </c>
      <c r="J436">
        <v>10</v>
      </c>
      <c r="K436">
        <f t="shared" si="72"/>
        <v>66</v>
      </c>
      <c r="L436" t="s">
        <v>15</v>
      </c>
      <c r="M436" s="1">
        <f t="shared" si="73"/>
        <v>45289</v>
      </c>
      <c r="N436" t="str">
        <f t="shared" ca="1" si="74"/>
        <v>Net 15</v>
      </c>
      <c r="O436">
        <f t="shared" ca="1" si="75"/>
        <v>15</v>
      </c>
      <c r="P436" s="1">
        <f t="shared" ca="1" si="76"/>
        <v>45304</v>
      </c>
      <c r="Q436" s="1">
        <f t="shared" ca="1" si="77"/>
        <v>45308</v>
      </c>
      <c r="R436">
        <f t="shared" ca="1" si="78"/>
        <v>19</v>
      </c>
      <c r="S436" t="str">
        <f t="shared" ca="1" si="79"/>
        <v>Late</v>
      </c>
      <c r="T436" t="str">
        <f t="shared" ca="1" si="80"/>
        <v>0-30</v>
      </c>
      <c r="U436">
        <f t="shared" ca="1" si="81"/>
        <v>4</v>
      </c>
      <c r="V436" t="str">
        <f t="shared" ca="1" si="82"/>
        <v>Inefficient</v>
      </c>
      <c r="W436">
        <f t="shared" si="83"/>
        <v>7321.08</v>
      </c>
    </row>
    <row r="437" spans="1:23" x14ac:dyDescent="0.35">
      <c r="A437" t="s">
        <v>462</v>
      </c>
      <c r="B437" t="s">
        <v>12</v>
      </c>
      <c r="C437" s="1">
        <v>44714</v>
      </c>
      <c r="D437" s="1">
        <v>44725</v>
      </c>
      <c r="E437" t="s">
        <v>24</v>
      </c>
      <c r="F437" t="s">
        <v>33</v>
      </c>
      <c r="G437">
        <v>275</v>
      </c>
      <c r="H437">
        <v>23.96</v>
      </c>
      <c r="I437">
        <v>20.440000000000001</v>
      </c>
      <c r="K437">
        <f t="shared" si="72"/>
        <v>275</v>
      </c>
      <c r="L437" t="s">
        <v>15</v>
      </c>
      <c r="M437" s="1">
        <f t="shared" si="73"/>
        <v>44725</v>
      </c>
      <c r="N437" t="str">
        <f t="shared" ca="1" si="74"/>
        <v>Net 45</v>
      </c>
      <c r="O437">
        <f t="shared" ca="1" si="75"/>
        <v>45</v>
      </c>
      <c r="P437" s="1">
        <f t="shared" ca="1" si="76"/>
        <v>44770</v>
      </c>
      <c r="Q437" s="1">
        <f t="shared" ca="1" si="77"/>
        <v>44789</v>
      </c>
      <c r="R437">
        <f t="shared" ca="1" si="78"/>
        <v>64</v>
      </c>
      <c r="S437" t="str">
        <f t="shared" ca="1" si="79"/>
        <v>Late</v>
      </c>
      <c r="T437" t="str">
        <f t="shared" ca="1" si="80"/>
        <v>61-90</v>
      </c>
      <c r="U437">
        <f t="shared" ca="1" si="81"/>
        <v>19</v>
      </c>
      <c r="V437" t="str">
        <f t="shared" ca="1" si="82"/>
        <v>Inefficient</v>
      </c>
      <c r="W437">
        <f t="shared" si="83"/>
        <v>5621</v>
      </c>
    </row>
    <row r="438" spans="1:23" x14ac:dyDescent="0.35">
      <c r="A438" t="s">
        <v>463</v>
      </c>
      <c r="B438" t="s">
        <v>12</v>
      </c>
      <c r="C438" s="1">
        <v>45120</v>
      </c>
      <c r="D438" s="1">
        <v>45125</v>
      </c>
      <c r="E438" t="s">
        <v>24</v>
      </c>
      <c r="F438" t="s">
        <v>18</v>
      </c>
      <c r="G438">
        <v>1350</v>
      </c>
      <c r="H438">
        <v>51.57</v>
      </c>
      <c r="I438">
        <v>48.07</v>
      </c>
      <c r="K438">
        <f t="shared" si="72"/>
        <v>1350</v>
      </c>
      <c r="L438" t="s">
        <v>15</v>
      </c>
      <c r="M438" s="1">
        <f t="shared" si="73"/>
        <v>45125</v>
      </c>
      <c r="N438" t="str">
        <f t="shared" ca="1" si="74"/>
        <v>Net 15</v>
      </c>
      <c r="O438">
        <f t="shared" ca="1" si="75"/>
        <v>15</v>
      </c>
      <c r="P438" s="1">
        <f t="shared" ca="1" si="76"/>
        <v>45140</v>
      </c>
      <c r="Q438" s="1">
        <f t="shared" ca="1" si="77"/>
        <v>45145</v>
      </c>
      <c r="R438">
        <f t="shared" ca="1" si="78"/>
        <v>20</v>
      </c>
      <c r="S438" t="str">
        <f t="shared" ca="1" si="79"/>
        <v>Late</v>
      </c>
      <c r="T438" t="str">
        <f t="shared" ca="1" si="80"/>
        <v>0-30</v>
      </c>
      <c r="U438">
        <f t="shared" ca="1" si="81"/>
        <v>5</v>
      </c>
      <c r="V438" t="str">
        <f t="shared" ca="1" si="82"/>
        <v>Inefficient</v>
      </c>
      <c r="W438">
        <f t="shared" si="83"/>
        <v>64894.5</v>
      </c>
    </row>
    <row r="439" spans="1:23" x14ac:dyDescent="0.35">
      <c r="A439" t="s">
        <v>464</v>
      </c>
      <c r="B439" t="s">
        <v>12</v>
      </c>
      <c r="C439" s="1">
        <v>44598</v>
      </c>
      <c r="E439" t="s">
        <v>21</v>
      </c>
      <c r="F439" t="s">
        <v>18</v>
      </c>
      <c r="G439">
        <v>847</v>
      </c>
      <c r="H439">
        <v>17.77</v>
      </c>
      <c r="I439">
        <v>17.39</v>
      </c>
      <c r="K439">
        <f t="shared" si="72"/>
        <v>847</v>
      </c>
      <c r="L439" t="s">
        <v>15</v>
      </c>
      <c r="M439" s="1">
        <f t="shared" si="73"/>
        <v>0</v>
      </c>
      <c r="N439" t="str">
        <f t="shared" ca="1" si="74"/>
        <v>Net 45</v>
      </c>
      <c r="O439">
        <f t="shared" ca="1" si="75"/>
        <v>45</v>
      </c>
      <c r="P439" s="1">
        <f t="shared" ca="1" si="76"/>
        <v>45</v>
      </c>
      <c r="Q439" s="1">
        <f t="shared" ca="1" si="77"/>
        <v>52</v>
      </c>
      <c r="R439">
        <f t="shared" ca="1" si="78"/>
        <v>52</v>
      </c>
      <c r="S439" t="str">
        <f t="shared" ca="1" si="79"/>
        <v>Late</v>
      </c>
      <c r="T439" t="str">
        <f t="shared" ca="1" si="80"/>
        <v>31-60</v>
      </c>
      <c r="U439">
        <f t="shared" ca="1" si="81"/>
        <v>7</v>
      </c>
      <c r="V439" t="str">
        <f t="shared" ca="1" si="82"/>
        <v>Inefficient</v>
      </c>
      <c r="W439">
        <f t="shared" si="83"/>
        <v>14729.33</v>
      </c>
    </row>
    <row r="440" spans="1:23" x14ac:dyDescent="0.35">
      <c r="A440" t="s">
        <v>465</v>
      </c>
      <c r="B440" t="s">
        <v>20</v>
      </c>
      <c r="C440" s="1">
        <v>44940</v>
      </c>
      <c r="D440" s="1">
        <v>44953</v>
      </c>
      <c r="E440" t="s">
        <v>21</v>
      </c>
      <c r="F440" t="s">
        <v>18</v>
      </c>
      <c r="G440">
        <v>1682</v>
      </c>
      <c r="H440">
        <v>105.7</v>
      </c>
      <c r="I440">
        <v>101.3</v>
      </c>
      <c r="J440">
        <v>94</v>
      </c>
      <c r="K440">
        <f t="shared" si="72"/>
        <v>1588</v>
      </c>
      <c r="L440" t="s">
        <v>15</v>
      </c>
      <c r="M440" s="1">
        <f t="shared" si="73"/>
        <v>44953</v>
      </c>
      <c r="N440" t="str">
        <f t="shared" ca="1" si="74"/>
        <v>Net 45</v>
      </c>
      <c r="O440">
        <f t="shared" ca="1" si="75"/>
        <v>45</v>
      </c>
      <c r="P440" s="1">
        <f t="shared" ca="1" si="76"/>
        <v>44998</v>
      </c>
      <c r="Q440" s="1">
        <f t="shared" ca="1" si="77"/>
        <v>45001</v>
      </c>
      <c r="R440">
        <f t="shared" ca="1" si="78"/>
        <v>48</v>
      </c>
      <c r="S440" t="str">
        <f t="shared" ca="1" si="79"/>
        <v>Late</v>
      </c>
      <c r="T440" t="str">
        <f t="shared" ca="1" si="80"/>
        <v>31-60</v>
      </c>
      <c r="U440">
        <f t="shared" ca="1" si="81"/>
        <v>3</v>
      </c>
      <c r="V440" t="str">
        <f t="shared" ca="1" si="82"/>
        <v>Inefficient</v>
      </c>
      <c r="W440">
        <f t="shared" si="83"/>
        <v>170386.6</v>
      </c>
    </row>
    <row r="441" spans="1:23" x14ac:dyDescent="0.35">
      <c r="A441" t="s">
        <v>466</v>
      </c>
      <c r="B441" t="s">
        <v>29</v>
      </c>
      <c r="C441" s="1">
        <v>45158</v>
      </c>
      <c r="D441" s="1">
        <v>45161</v>
      </c>
      <c r="E441" t="s">
        <v>39</v>
      </c>
      <c r="F441" t="s">
        <v>18</v>
      </c>
      <c r="G441">
        <v>333</v>
      </c>
      <c r="H441">
        <v>60.44</v>
      </c>
      <c r="I441">
        <v>58.54</v>
      </c>
      <c r="J441">
        <v>8</v>
      </c>
      <c r="K441">
        <f t="shared" si="72"/>
        <v>325</v>
      </c>
      <c r="L441" t="s">
        <v>15</v>
      </c>
      <c r="M441" s="1">
        <f t="shared" si="73"/>
        <v>45161</v>
      </c>
      <c r="N441" t="str">
        <f t="shared" ca="1" si="74"/>
        <v>Net 30</v>
      </c>
      <c r="O441">
        <f t="shared" ca="1" si="75"/>
        <v>30</v>
      </c>
      <c r="P441" s="1">
        <f t="shared" ca="1" si="76"/>
        <v>45191</v>
      </c>
      <c r="Q441" s="1">
        <f t="shared" ca="1" si="77"/>
        <v>45206</v>
      </c>
      <c r="R441">
        <f t="shared" ca="1" si="78"/>
        <v>45</v>
      </c>
      <c r="S441" t="str">
        <f t="shared" ca="1" si="79"/>
        <v>Late</v>
      </c>
      <c r="T441" t="str">
        <f t="shared" ca="1" si="80"/>
        <v>31-60</v>
      </c>
      <c r="U441">
        <f t="shared" ca="1" si="81"/>
        <v>15</v>
      </c>
      <c r="V441" t="str">
        <f t="shared" ca="1" si="82"/>
        <v>Inefficient</v>
      </c>
      <c r="W441">
        <f t="shared" si="83"/>
        <v>19493.82</v>
      </c>
    </row>
    <row r="442" spans="1:23" x14ac:dyDescent="0.35">
      <c r="A442" t="s">
        <v>467</v>
      </c>
      <c r="B442" t="s">
        <v>12</v>
      </c>
      <c r="C442" s="1">
        <v>45127</v>
      </c>
      <c r="D442" s="1">
        <v>45140</v>
      </c>
      <c r="E442" t="s">
        <v>39</v>
      </c>
      <c r="F442" t="s">
        <v>14</v>
      </c>
      <c r="G442">
        <v>928</v>
      </c>
      <c r="H442">
        <v>69.31</v>
      </c>
      <c r="I442">
        <v>67.260000000000005</v>
      </c>
      <c r="J442">
        <v>20</v>
      </c>
      <c r="K442">
        <f t="shared" si="72"/>
        <v>908</v>
      </c>
      <c r="L442" t="s">
        <v>15</v>
      </c>
      <c r="M442" s="1">
        <f t="shared" si="73"/>
        <v>45140</v>
      </c>
      <c r="N442" t="str">
        <f t="shared" ca="1" si="74"/>
        <v>Net 45</v>
      </c>
      <c r="O442">
        <f t="shared" ca="1" si="75"/>
        <v>45</v>
      </c>
      <c r="P442" s="1">
        <f t="shared" ca="1" si="76"/>
        <v>45185</v>
      </c>
      <c r="Q442" s="1">
        <f t="shared" ca="1" si="77"/>
        <v>45180</v>
      </c>
      <c r="R442">
        <f t="shared" ca="1" si="78"/>
        <v>40</v>
      </c>
      <c r="S442" t="str">
        <f t="shared" ca="1" si="79"/>
        <v>On Time</v>
      </c>
      <c r="T442" t="str">
        <f t="shared" ca="1" si="80"/>
        <v>31-60</v>
      </c>
      <c r="U442">
        <f t="shared" ca="1" si="81"/>
        <v>0</v>
      </c>
      <c r="V442" t="str">
        <f t="shared" ca="1" si="82"/>
        <v>Efficient</v>
      </c>
      <c r="W442">
        <f t="shared" si="83"/>
        <v>62417.280000000006</v>
      </c>
    </row>
    <row r="443" spans="1:23" x14ac:dyDescent="0.35">
      <c r="A443" t="s">
        <v>468</v>
      </c>
      <c r="B443" t="s">
        <v>29</v>
      </c>
      <c r="C443" s="1">
        <v>44713</v>
      </c>
      <c r="D443" s="1">
        <v>44724</v>
      </c>
      <c r="E443" t="s">
        <v>21</v>
      </c>
      <c r="F443" t="s">
        <v>33</v>
      </c>
      <c r="G443">
        <v>1009</v>
      </c>
      <c r="H443">
        <v>16.440000000000001</v>
      </c>
      <c r="I443">
        <v>16.18</v>
      </c>
      <c r="K443">
        <f t="shared" si="72"/>
        <v>1009</v>
      </c>
      <c r="L443" t="s">
        <v>15</v>
      </c>
      <c r="M443" s="1">
        <f t="shared" si="73"/>
        <v>44724</v>
      </c>
      <c r="N443" t="str">
        <f t="shared" ca="1" si="74"/>
        <v>Net 30</v>
      </c>
      <c r="O443">
        <f t="shared" ca="1" si="75"/>
        <v>30</v>
      </c>
      <c r="P443" s="1">
        <f t="shared" ca="1" si="76"/>
        <v>44754</v>
      </c>
      <c r="Q443" s="1">
        <f t="shared" ca="1" si="77"/>
        <v>44765</v>
      </c>
      <c r="R443">
        <f t="shared" ca="1" si="78"/>
        <v>41</v>
      </c>
      <c r="S443" t="str">
        <f t="shared" ca="1" si="79"/>
        <v>Late</v>
      </c>
      <c r="T443" t="str">
        <f t="shared" ca="1" si="80"/>
        <v>31-60</v>
      </c>
      <c r="U443">
        <f t="shared" ca="1" si="81"/>
        <v>11</v>
      </c>
      <c r="V443" t="str">
        <f t="shared" ca="1" si="82"/>
        <v>Inefficient</v>
      </c>
      <c r="W443">
        <f t="shared" si="83"/>
        <v>16325.619999999999</v>
      </c>
    </row>
    <row r="444" spans="1:23" x14ac:dyDescent="0.35">
      <c r="A444" t="s">
        <v>469</v>
      </c>
      <c r="B444" t="s">
        <v>29</v>
      </c>
      <c r="C444" s="1">
        <v>45002</v>
      </c>
      <c r="D444" s="1">
        <v>45019</v>
      </c>
      <c r="E444" t="s">
        <v>39</v>
      </c>
      <c r="F444" t="s">
        <v>35</v>
      </c>
      <c r="G444">
        <v>1554</v>
      </c>
      <c r="H444">
        <v>82.92</v>
      </c>
      <c r="I444">
        <v>74.819999999999993</v>
      </c>
      <c r="J444">
        <v>44</v>
      </c>
      <c r="K444">
        <f t="shared" si="72"/>
        <v>1510</v>
      </c>
      <c r="L444" t="s">
        <v>15</v>
      </c>
      <c r="M444" s="1">
        <f t="shared" si="73"/>
        <v>45019</v>
      </c>
      <c r="N444" t="str">
        <f t="shared" ca="1" si="74"/>
        <v>Net 15</v>
      </c>
      <c r="O444">
        <f t="shared" ca="1" si="75"/>
        <v>15</v>
      </c>
      <c r="P444" s="1">
        <f t="shared" ca="1" si="76"/>
        <v>45034</v>
      </c>
      <c r="Q444" s="1">
        <f t="shared" ca="1" si="77"/>
        <v>45043</v>
      </c>
      <c r="R444">
        <f t="shared" ca="1" si="78"/>
        <v>24</v>
      </c>
      <c r="S444" t="str">
        <f t="shared" ca="1" si="79"/>
        <v>Late</v>
      </c>
      <c r="T444" t="str">
        <f t="shared" ca="1" si="80"/>
        <v>0-30</v>
      </c>
      <c r="U444">
        <f t="shared" ca="1" si="81"/>
        <v>9</v>
      </c>
      <c r="V444" t="str">
        <f t="shared" ca="1" si="82"/>
        <v>Inefficient</v>
      </c>
      <c r="W444">
        <f t="shared" si="83"/>
        <v>116270.27999999998</v>
      </c>
    </row>
    <row r="445" spans="1:23" x14ac:dyDescent="0.35">
      <c r="A445" t="s">
        <v>470</v>
      </c>
      <c r="B445" t="s">
        <v>20</v>
      </c>
      <c r="C445" s="1">
        <v>44692</v>
      </c>
      <c r="D445" s="1">
        <v>44706</v>
      </c>
      <c r="E445" t="s">
        <v>24</v>
      </c>
      <c r="F445" t="s">
        <v>33</v>
      </c>
      <c r="G445">
        <v>502</v>
      </c>
      <c r="H445">
        <v>29.47</v>
      </c>
      <c r="I445">
        <v>28.94</v>
      </c>
      <c r="J445">
        <v>27</v>
      </c>
      <c r="K445">
        <f t="shared" si="72"/>
        <v>475</v>
      </c>
      <c r="L445" t="s">
        <v>15</v>
      </c>
      <c r="M445" s="1">
        <f t="shared" si="73"/>
        <v>44706</v>
      </c>
      <c r="N445" t="str">
        <f t="shared" ca="1" si="74"/>
        <v>Net 45</v>
      </c>
      <c r="O445">
        <f t="shared" ca="1" si="75"/>
        <v>45</v>
      </c>
      <c r="P445" s="1">
        <f t="shared" ca="1" si="76"/>
        <v>44751</v>
      </c>
      <c r="Q445" s="1">
        <f t="shared" ca="1" si="77"/>
        <v>44751</v>
      </c>
      <c r="R445">
        <f t="shared" ca="1" si="78"/>
        <v>45</v>
      </c>
      <c r="S445" t="str">
        <f t="shared" ca="1" si="79"/>
        <v>On Time</v>
      </c>
      <c r="T445" t="str">
        <f t="shared" ca="1" si="80"/>
        <v>31-60</v>
      </c>
      <c r="U445">
        <f t="shared" ca="1" si="81"/>
        <v>0</v>
      </c>
      <c r="V445" t="str">
        <f t="shared" ca="1" si="82"/>
        <v>Efficient</v>
      </c>
      <c r="W445">
        <f t="shared" si="83"/>
        <v>14527.880000000001</v>
      </c>
    </row>
    <row r="446" spans="1:23" x14ac:dyDescent="0.35">
      <c r="A446" t="s">
        <v>471</v>
      </c>
      <c r="B446" t="s">
        <v>17</v>
      </c>
      <c r="C446" s="1">
        <v>44604</v>
      </c>
      <c r="D446" s="1">
        <v>44605</v>
      </c>
      <c r="E446" t="s">
        <v>21</v>
      </c>
      <c r="F446" t="s">
        <v>18</v>
      </c>
      <c r="G446">
        <v>1069</v>
      </c>
      <c r="H446">
        <v>91.28</v>
      </c>
      <c r="I446">
        <v>82.64</v>
      </c>
      <c r="K446">
        <f t="shared" si="72"/>
        <v>1069</v>
      </c>
      <c r="L446" t="s">
        <v>15</v>
      </c>
      <c r="M446" s="1">
        <f t="shared" si="73"/>
        <v>44605</v>
      </c>
      <c r="N446" t="str">
        <f t="shared" ca="1" si="74"/>
        <v>Net 15</v>
      </c>
      <c r="O446">
        <f t="shared" ca="1" si="75"/>
        <v>15</v>
      </c>
      <c r="P446" s="1">
        <f t="shared" ca="1" si="76"/>
        <v>44620</v>
      </c>
      <c r="Q446" s="1">
        <f t="shared" ca="1" si="77"/>
        <v>44631</v>
      </c>
      <c r="R446">
        <f t="shared" ca="1" si="78"/>
        <v>26</v>
      </c>
      <c r="S446" t="str">
        <f t="shared" ca="1" si="79"/>
        <v>Late</v>
      </c>
      <c r="T446" t="str">
        <f t="shared" ca="1" si="80"/>
        <v>0-30</v>
      </c>
      <c r="U446">
        <f t="shared" ca="1" si="81"/>
        <v>11</v>
      </c>
      <c r="V446" t="str">
        <f t="shared" ca="1" si="82"/>
        <v>Inefficient</v>
      </c>
      <c r="W446">
        <f t="shared" si="83"/>
        <v>88342.16</v>
      </c>
    </row>
    <row r="447" spans="1:23" x14ac:dyDescent="0.35">
      <c r="A447" t="s">
        <v>472</v>
      </c>
      <c r="B447" t="s">
        <v>12</v>
      </c>
      <c r="C447" s="1">
        <v>44877</v>
      </c>
      <c r="D447" s="1">
        <v>44883</v>
      </c>
      <c r="E447" t="s">
        <v>21</v>
      </c>
      <c r="F447" t="s">
        <v>35</v>
      </c>
      <c r="G447">
        <v>1902</v>
      </c>
      <c r="H447">
        <v>29.89</v>
      </c>
      <c r="I447">
        <v>25.83</v>
      </c>
      <c r="J447">
        <v>41</v>
      </c>
      <c r="K447">
        <f t="shared" si="72"/>
        <v>1861</v>
      </c>
      <c r="L447" t="s">
        <v>15</v>
      </c>
      <c r="M447" s="1">
        <f t="shared" si="73"/>
        <v>44883</v>
      </c>
      <c r="N447" t="str">
        <f t="shared" ca="1" si="74"/>
        <v>Net 45</v>
      </c>
      <c r="O447">
        <f t="shared" ca="1" si="75"/>
        <v>45</v>
      </c>
      <c r="P447" s="1">
        <f t="shared" ca="1" si="76"/>
        <v>44928</v>
      </c>
      <c r="Q447" s="1">
        <f t="shared" ca="1" si="77"/>
        <v>44925</v>
      </c>
      <c r="R447">
        <f t="shared" ca="1" si="78"/>
        <v>42</v>
      </c>
      <c r="S447" t="str">
        <f t="shared" ca="1" si="79"/>
        <v>On Time</v>
      </c>
      <c r="T447" t="str">
        <f t="shared" ca="1" si="80"/>
        <v>31-60</v>
      </c>
      <c r="U447">
        <f t="shared" ca="1" si="81"/>
        <v>0</v>
      </c>
      <c r="V447" t="str">
        <f t="shared" ca="1" si="82"/>
        <v>Efficient</v>
      </c>
      <c r="W447">
        <f t="shared" si="83"/>
        <v>49128.659999999996</v>
      </c>
    </row>
    <row r="448" spans="1:23" x14ac:dyDescent="0.35">
      <c r="A448" t="s">
        <v>473</v>
      </c>
      <c r="B448" t="s">
        <v>20</v>
      </c>
      <c r="C448" s="1">
        <v>44935</v>
      </c>
      <c r="E448" t="s">
        <v>26</v>
      </c>
      <c r="F448" t="s">
        <v>35</v>
      </c>
      <c r="G448">
        <v>865</v>
      </c>
      <c r="H448">
        <v>28.79</v>
      </c>
      <c r="I448">
        <v>25.69</v>
      </c>
      <c r="J448">
        <v>47</v>
      </c>
      <c r="K448">
        <f t="shared" si="72"/>
        <v>818</v>
      </c>
      <c r="L448" t="s">
        <v>15</v>
      </c>
      <c r="M448" s="1">
        <f t="shared" si="73"/>
        <v>0</v>
      </c>
      <c r="N448" t="str">
        <f t="shared" ca="1" si="74"/>
        <v>Net 30</v>
      </c>
      <c r="O448">
        <f t="shared" ca="1" si="75"/>
        <v>30</v>
      </c>
      <c r="P448" s="1">
        <f t="shared" ca="1" si="76"/>
        <v>30</v>
      </c>
      <c r="Q448" s="1">
        <f t="shared" ca="1" si="77"/>
        <v>37</v>
      </c>
      <c r="R448">
        <f t="shared" ca="1" si="78"/>
        <v>37</v>
      </c>
      <c r="S448" t="str">
        <f t="shared" ca="1" si="79"/>
        <v>Late</v>
      </c>
      <c r="T448" t="str">
        <f t="shared" ca="1" si="80"/>
        <v>31-60</v>
      </c>
      <c r="U448">
        <f t="shared" ca="1" si="81"/>
        <v>7</v>
      </c>
      <c r="V448" t="str">
        <f t="shared" ca="1" si="82"/>
        <v>Inefficient</v>
      </c>
      <c r="W448">
        <f t="shared" si="83"/>
        <v>22221.850000000002</v>
      </c>
    </row>
    <row r="449" spans="1:23" x14ac:dyDescent="0.35">
      <c r="A449" t="s">
        <v>474</v>
      </c>
      <c r="B449" t="s">
        <v>17</v>
      </c>
      <c r="C449" s="1">
        <v>44602</v>
      </c>
      <c r="D449" s="1">
        <v>44618</v>
      </c>
      <c r="E449" t="s">
        <v>24</v>
      </c>
      <c r="F449" t="s">
        <v>33</v>
      </c>
      <c r="G449">
        <v>708</v>
      </c>
      <c r="H449">
        <v>13.36</v>
      </c>
      <c r="I449">
        <v>11.61</v>
      </c>
      <c r="K449">
        <f t="shared" si="72"/>
        <v>708</v>
      </c>
      <c r="L449" t="s">
        <v>27</v>
      </c>
      <c r="M449" s="1">
        <f t="shared" si="73"/>
        <v>44618</v>
      </c>
      <c r="N449" t="str">
        <f t="shared" ca="1" si="74"/>
        <v>Net 45</v>
      </c>
      <c r="O449">
        <f t="shared" ca="1" si="75"/>
        <v>45</v>
      </c>
      <c r="P449" s="1">
        <f t="shared" ca="1" si="76"/>
        <v>44663</v>
      </c>
      <c r="Q449" s="1">
        <f t="shared" ca="1" si="77"/>
        <v>44680</v>
      </c>
      <c r="R449">
        <f t="shared" ca="1" si="78"/>
        <v>62</v>
      </c>
      <c r="S449" t="str">
        <f t="shared" ca="1" si="79"/>
        <v>Late</v>
      </c>
      <c r="T449" t="str">
        <f t="shared" ca="1" si="80"/>
        <v>61-90</v>
      </c>
      <c r="U449">
        <f t="shared" ca="1" si="81"/>
        <v>17</v>
      </c>
      <c r="V449" t="str">
        <f t="shared" ca="1" si="82"/>
        <v>Inefficient</v>
      </c>
      <c r="W449">
        <f t="shared" si="83"/>
        <v>8219.8799999999992</v>
      </c>
    </row>
    <row r="450" spans="1:23" x14ac:dyDescent="0.35">
      <c r="A450" t="s">
        <v>475</v>
      </c>
      <c r="B450" t="s">
        <v>17</v>
      </c>
      <c r="C450" s="1">
        <v>44928</v>
      </c>
      <c r="D450" s="1">
        <v>44933</v>
      </c>
      <c r="E450" t="s">
        <v>24</v>
      </c>
      <c r="F450" t="s">
        <v>18</v>
      </c>
      <c r="G450">
        <v>1589</v>
      </c>
      <c r="H450">
        <v>55.64</v>
      </c>
      <c r="I450">
        <v>48.52</v>
      </c>
      <c r="K450">
        <f t="shared" si="72"/>
        <v>1589</v>
      </c>
      <c r="L450" t="s">
        <v>15</v>
      </c>
      <c r="M450" s="1">
        <f t="shared" si="73"/>
        <v>44933</v>
      </c>
      <c r="N450" t="str">
        <f t="shared" ca="1" si="74"/>
        <v>Net 45</v>
      </c>
      <c r="O450">
        <f t="shared" ca="1" si="75"/>
        <v>45</v>
      </c>
      <c r="P450" s="1">
        <f t="shared" ca="1" si="76"/>
        <v>44978</v>
      </c>
      <c r="Q450" s="1">
        <f t="shared" ca="1" si="77"/>
        <v>44983</v>
      </c>
      <c r="R450">
        <f t="shared" ca="1" si="78"/>
        <v>50</v>
      </c>
      <c r="S450" t="str">
        <f t="shared" ca="1" si="79"/>
        <v>Late</v>
      </c>
      <c r="T450" t="str">
        <f t="shared" ca="1" si="80"/>
        <v>31-60</v>
      </c>
      <c r="U450">
        <f t="shared" ca="1" si="81"/>
        <v>5</v>
      </c>
      <c r="V450" t="str">
        <f t="shared" ca="1" si="82"/>
        <v>Inefficient</v>
      </c>
      <c r="W450">
        <f t="shared" si="83"/>
        <v>77098.28</v>
      </c>
    </row>
    <row r="451" spans="1:23" x14ac:dyDescent="0.35">
      <c r="A451" t="s">
        <v>476</v>
      </c>
      <c r="B451" t="s">
        <v>12</v>
      </c>
      <c r="C451" s="1">
        <v>44777</v>
      </c>
      <c r="D451" s="1">
        <v>44787</v>
      </c>
      <c r="E451" t="s">
        <v>13</v>
      </c>
      <c r="F451" t="s">
        <v>18</v>
      </c>
      <c r="G451">
        <v>596</v>
      </c>
      <c r="H451">
        <v>62.96</v>
      </c>
      <c r="I451">
        <v>61.88</v>
      </c>
      <c r="J451">
        <v>9</v>
      </c>
      <c r="K451">
        <f t="shared" ref="K451:K514" si="84">G451-J451</f>
        <v>587</v>
      </c>
      <c r="L451" t="s">
        <v>15</v>
      </c>
      <c r="M451" s="1">
        <f t="shared" ref="M451:M514" si="85">D451</f>
        <v>44787</v>
      </c>
      <c r="N451" t="str">
        <f t="shared" ref="N451:N514" ca="1" si="86">CHOOSE(RANDBETWEEN(1,3),"Net 15","Net 30","Net 45")</f>
        <v>Net 15</v>
      </c>
      <c r="O451">
        <f t="shared" ref="O451:O514" ca="1" si="87">VALUE(RIGHT(N451,2))</f>
        <v>15</v>
      </c>
      <c r="P451" s="1">
        <f t="shared" ref="P451:P514" ca="1" si="88">(M451+O451)</f>
        <v>44802</v>
      </c>
      <c r="Q451" s="1">
        <f t="shared" ref="Q451:Q514" ca="1" si="89">P451 + RANDBETWEEN(-5,20)</f>
        <v>44807</v>
      </c>
      <c r="R451">
        <f t="shared" ref="R451:R514" ca="1" si="90">Q451-M451</f>
        <v>20</v>
      </c>
      <c r="S451" t="str">
        <f t="shared" ref="S451:S514" ca="1" si="91">IF(Q451&lt;=P451,"On Time","Late")</f>
        <v>Late</v>
      </c>
      <c r="T451" t="str">
        <f t="shared" ref="T451:T514" ca="1" si="92">IF(R451&lt;=30,"0-30",
IF(R451&lt;=60,"31-60",
IF(R451&lt;=90,"61-90","90+")))</f>
        <v>0-30</v>
      </c>
      <c r="U451">
        <f t="shared" ref="U451:U514" ca="1" si="93">MAX(0,Q451-P451)</f>
        <v>5</v>
      </c>
      <c r="V451" t="str">
        <f t="shared" ref="V451:V514" ca="1" si="94">IF(U451=0,"Efficient","Inefficient")</f>
        <v>Inefficient</v>
      </c>
      <c r="W451">
        <f t="shared" ref="W451:W514" si="95">G451*I451</f>
        <v>36880.480000000003</v>
      </c>
    </row>
    <row r="452" spans="1:23" x14ac:dyDescent="0.35">
      <c r="A452" t="s">
        <v>477</v>
      </c>
      <c r="B452" t="s">
        <v>29</v>
      </c>
      <c r="C452" s="1">
        <v>45260</v>
      </c>
      <c r="D452" s="1">
        <v>45264</v>
      </c>
      <c r="E452" t="s">
        <v>13</v>
      </c>
      <c r="F452" t="s">
        <v>18</v>
      </c>
      <c r="G452">
        <v>1265</v>
      </c>
      <c r="H452">
        <v>17.66</v>
      </c>
      <c r="I452">
        <v>16.97</v>
      </c>
      <c r="J452">
        <v>34</v>
      </c>
      <c r="K452">
        <f t="shared" si="84"/>
        <v>1231</v>
      </c>
      <c r="L452" t="s">
        <v>15</v>
      </c>
      <c r="M452" s="1">
        <f t="shared" si="85"/>
        <v>45264</v>
      </c>
      <c r="N452" t="str">
        <f t="shared" ca="1" si="86"/>
        <v>Net 15</v>
      </c>
      <c r="O452">
        <f t="shared" ca="1" si="87"/>
        <v>15</v>
      </c>
      <c r="P452" s="1">
        <f t="shared" ca="1" si="88"/>
        <v>45279</v>
      </c>
      <c r="Q452" s="1">
        <f t="shared" ca="1" si="89"/>
        <v>45288</v>
      </c>
      <c r="R452">
        <f t="shared" ca="1" si="90"/>
        <v>24</v>
      </c>
      <c r="S452" t="str">
        <f t="shared" ca="1" si="91"/>
        <v>Late</v>
      </c>
      <c r="T452" t="str">
        <f t="shared" ca="1" si="92"/>
        <v>0-30</v>
      </c>
      <c r="U452">
        <f t="shared" ca="1" si="93"/>
        <v>9</v>
      </c>
      <c r="V452" t="str">
        <f t="shared" ca="1" si="94"/>
        <v>Inefficient</v>
      </c>
      <c r="W452">
        <f t="shared" si="95"/>
        <v>21467.05</v>
      </c>
    </row>
    <row r="453" spans="1:23" x14ac:dyDescent="0.35">
      <c r="A453" t="s">
        <v>478</v>
      </c>
      <c r="B453" t="s">
        <v>23</v>
      </c>
      <c r="C453" s="1">
        <v>44817</v>
      </c>
      <c r="D453" s="1">
        <v>44835</v>
      </c>
      <c r="E453" t="s">
        <v>26</v>
      </c>
      <c r="F453" t="s">
        <v>18</v>
      </c>
      <c r="G453">
        <v>1122</v>
      </c>
      <c r="H453">
        <v>82.99</v>
      </c>
      <c r="I453">
        <v>81.7</v>
      </c>
      <c r="J453">
        <v>118</v>
      </c>
      <c r="K453">
        <f t="shared" si="84"/>
        <v>1004</v>
      </c>
      <c r="L453" t="s">
        <v>27</v>
      </c>
      <c r="M453" s="1">
        <f t="shared" si="85"/>
        <v>44835</v>
      </c>
      <c r="N453" t="str">
        <f t="shared" ca="1" si="86"/>
        <v>Net 30</v>
      </c>
      <c r="O453">
        <f t="shared" ca="1" si="87"/>
        <v>30</v>
      </c>
      <c r="P453" s="1">
        <f t="shared" ca="1" si="88"/>
        <v>44865</v>
      </c>
      <c r="Q453" s="1">
        <f t="shared" ca="1" si="89"/>
        <v>44870</v>
      </c>
      <c r="R453">
        <f t="shared" ca="1" si="90"/>
        <v>35</v>
      </c>
      <c r="S453" t="str">
        <f t="shared" ca="1" si="91"/>
        <v>Late</v>
      </c>
      <c r="T453" t="str">
        <f t="shared" ca="1" si="92"/>
        <v>31-60</v>
      </c>
      <c r="U453">
        <f t="shared" ca="1" si="93"/>
        <v>5</v>
      </c>
      <c r="V453" t="str">
        <f t="shared" ca="1" si="94"/>
        <v>Inefficient</v>
      </c>
      <c r="W453">
        <f t="shared" si="95"/>
        <v>91667.400000000009</v>
      </c>
    </row>
    <row r="454" spans="1:23" x14ac:dyDescent="0.35">
      <c r="A454" t="s">
        <v>479</v>
      </c>
      <c r="B454" t="s">
        <v>29</v>
      </c>
      <c r="C454" s="1">
        <v>45244</v>
      </c>
      <c r="D454" s="1">
        <v>45261</v>
      </c>
      <c r="E454" t="s">
        <v>13</v>
      </c>
      <c r="F454" t="s">
        <v>18</v>
      </c>
      <c r="G454">
        <v>1585</v>
      </c>
      <c r="H454">
        <v>56.38</v>
      </c>
      <c r="I454">
        <v>53.05</v>
      </c>
      <c r="K454">
        <f t="shared" si="84"/>
        <v>1585</v>
      </c>
      <c r="L454" t="s">
        <v>15</v>
      </c>
      <c r="M454" s="1">
        <f t="shared" si="85"/>
        <v>45261</v>
      </c>
      <c r="N454" t="str">
        <f t="shared" ca="1" si="86"/>
        <v>Net 30</v>
      </c>
      <c r="O454">
        <f t="shared" ca="1" si="87"/>
        <v>30</v>
      </c>
      <c r="P454" s="1">
        <f t="shared" ca="1" si="88"/>
        <v>45291</v>
      </c>
      <c r="Q454" s="1">
        <f t="shared" ca="1" si="89"/>
        <v>45300</v>
      </c>
      <c r="R454">
        <f t="shared" ca="1" si="90"/>
        <v>39</v>
      </c>
      <c r="S454" t="str">
        <f t="shared" ca="1" si="91"/>
        <v>Late</v>
      </c>
      <c r="T454" t="str">
        <f t="shared" ca="1" si="92"/>
        <v>31-60</v>
      </c>
      <c r="U454">
        <f t="shared" ca="1" si="93"/>
        <v>9</v>
      </c>
      <c r="V454" t="str">
        <f t="shared" ca="1" si="94"/>
        <v>Inefficient</v>
      </c>
      <c r="W454">
        <f t="shared" si="95"/>
        <v>84084.25</v>
      </c>
    </row>
    <row r="455" spans="1:23" x14ac:dyDescent="0.35">
      <c r="A455" t="s">
        <v>480</v>
      </c>
      <c r="B455" t="s">
        <v>29</v>
      </c>
      <c r="C455" s="1">
        <v>44667</v>
      </c>
      <c r="D455" s="1">
        <v>44678</v>
      </c>
      <c r="E455" t="s">
        <v>39</v>
      </c>
      <c r="F455" t="s">
        <v>18</v>
      </c>
      <c r="G455">
        <v>66</v>
      </c>
      <c r="H455">
        <v>58.05</v>
      </c>
      <c r="I455">
        <v>50.76</v>
      </c>
      <c r="K455">
        <f t="shared" si="84"/>
        <v>66</v>
      </c>
      <c r="L455" t="s">
        <v>15</v>
      </c>
      <c r="M455" s="1">
        <f t="shared" si="85"/>
        <v>44678</v>
      </c>
      <c r="N455" t="str">
        <f t="shared" ca="1" si="86"/>
        <v>Net 45</v>
      </c>
      <c r="O455">
        <f t="shared" ca="1" si="87"/>
        <v>45</v>
      </c>
      <c r="P455" s="1">
        <f t="shared" ca="1" si="88"/>
        <v>44723</v>
      </c>
      <c r="Q455" s="1">
        <f t="shared" ca="1" si="89"/>
        <v>44723</v>
      </c>
      <c r="R455">
        <f t="shared" ca="1" si="90"/>
        <v>45</v>
      </c>
      <c r="S455" t="str">
        <f t="shared" ca="1" si="91"/>
        <v>On Time</v>
      </c>
      <c r="T455" t="str">
        <f t="shared" ca="1" si="92"/>
        <v>31-60</v>
      </c>
      <c r="U455">
        <f t="shared" ca="1" si="93"/>
        <v>0</v>
      </c>
      <c r="V455" t="str">
        <f t="shared" ca="1" si="94"/>
        <v>Efficient</v>
      </c>
      <c r="W455">
        <f t="shared" si="95"/>
        <v>3350.16</v>
      </c>
    </row>
    <row r="456" spans="1:23" x14ac:dyDescent="0.35">
      <c r="A456" t="s">
        <v>481</v>
      </c>
      <c r="B456" t="s">
        <v>23</v>
      </c>
      <c r="C456" s="1">
        <v>44924</v>
      </c>
      <c r="D456" s="1">
        <v>44944</v>
      </c>
      <c r="E456" t="s">
        <v>21</v>
      </c>
      <c r="F456" t="s">
        <v>18</v>
      </c>
      <c r="G456">
        <v>1245</v>
      </c>
      <c r="H456">
        <v>52.4</v>
      </c>
      <c r="I456">
        <v>51.65</v>
      </c>
      <c r="J456">
        <v>118</v>
      </c>
      <c r="K456">
        <f t="shared" si="84"/>
        <v>1127</v>
      </c>
      <c r="L456" t="s">
        <v>27</v>
      </c>
      <c r="M456" s="1">
        <f t="shared" si="85"/>
        <v>44944</v>
      </c>
      <c r="N456" t="str">
        <f t="shared" ca="1" si="86"/>
        <v>Net 30</v>
      </c>
      <c r="O456">
        <f t="shared" ca="1" si="87"/>
        <v>30</v>
      </c>
      <c r="P456" s="1">
        <f t="shared" ca="1" si="88"/>
        <v>44974</v>
      </c>
      <c r="Q456" s="1">
        <f t="shared" ca="1" si="89"/>
        <v>44969</v>
      </c>
      <c r="R456">
        <f t="shared" ca="1" si="90"/>
        <v>25</v>
      </c>
      <c r="S456" t="str">
        <f t="shared" ca="1" si="91"/>
        <v>On Time</v>
      </c>
      <c r="T456" t="str">
        <f t="shared" ca="1" si="92"/>
        <v>0-30</v>
      </c>
      <c r="U456">
        <f t="shared" ca="1" si="93"/>
        <v>0</v>
      </c>
      <c r="V456" t="str">
        <f t="shared" ca="1" si="94"/>
        <v>Efficient</v>
      </c>
      <c r="W456">
        <f t="shared" si="95"/>
        <v>64304.25</v>
      </c>
    </row>
    <row r="457" spans="1:23" x14ac:dyDescent="0.35">
      <c r="A457" t="s">
        <v>482</v>
      </c>
      <c r="B457" t="s">
        <v>17</v>
      </c>
      <c r="C457" s="1">
        <v>45135</v>
      </c>
      <c r="D457" s="1">
        <v>45148</v>
      </c>
      <c r="E457" t="s">
        <v>39</v>
      </c>
      <c r="F457" t="s">
        <v>18</v>
      </c>
      <c r="G457">
        <v>1293</v>
      </c>
      <c r="H457">
        <v>50.21</v>
      </c>
      <c r="I457">
        <v>47.55</v>
      </c>
      <c r="K457">
        <f t="shared" si="84"/>
        <v>1293</v>
      </c>
      <c r="L457" t="s">
        <v>27</v>
      </c>
      <c r="M457" s="1">
        <f t="shared" si="85"/>
        <v>45148</v>
      </c>
      <c r="N457" t="str">
        <f t="shared" ca="1" si="86"/>
        <v>Net 30</v>
      </c>
      <c r="O457">
        <f t="shared" ca="1" si="87"/>
        <v>30</v>
      </c>
      <c r="P457" s="1">
        <f t="shared" ca="1" si="88"/>
        <v>45178</v>
      </c>
      <c r="Q457" s="1">
        <f t="shared" ca="1" si="89"/>
        <v>45187</v>
      </c>
      <c r="R457">
        <f t="shared" ca="1" si="90"/>
        <v>39</v>
      </c>
      <c r="S457" t="str">
        <f t="shared" ca="1" si="91"/>
        <v>Late</v>
      </c>
      <c r="T457" t="str">
        <f t="shared" ca="1" si="92"/>
        <v>31-60</v>
      </c>
      <c r="U457">
        <f t="shared" ca="1" si="93"/>
        <v>9</v>
      </c>
      <c r="V457" t="str">
        <f t="shared" ca="1" si="94"/>
        <v>Inefficient</v>
      </c>
      <c r="W457">
        <f t="shared" si="95"/>
        <v>61482.149999999994</v>
      </c>
    </row>
    <row r="458" spans="1:23" x14ac:dyDescent="0.35">
      <c r="A458" t="s">
        <v>483</v>
      </c>
      <c r="B458" t="s">
        <v>23</v>
      </c>
      <c r="C458" s="1">
        <v>44978</v>
      </c>
      <c r="D458" s="1">
        <v>44984</v>
      </c>
      <c r="E458" t="s">
        <v>24</v>
      </c>
      <c r="F458" t="s">
        <v>18</v>
      </c>
      <c r="G458">
        <v>207</v>
      </c>
      <c r="H458">
        <v>64.290000000000006</v>
      </c>
      <c r="I458">
        <v>63.01</v>
      </c>
      <c r="J458">
        <v>25</v>
      </c>
      <c r="K458">
        <f t="shared" si="84"/>
        <v>182</v>
      </c>
      <c r="L458" t="s">
        <v>15</v>
      </c>
      <c r="M458" s="1">
        <f t="shared" si="85"/>
        <v>44984</v>
      </c>
      <c r="N458" t="str">
        <f t="shared" ca="1" si="86"/>
        <v>Net 45</v>
      </c>
      <c r="O458">
        <f t="shared" ca="1" si="87"/>
        <v>45</v>
      </c>
      <c r="P458" s="1">
        <f t="shared" ca="1" si="88"/>
        <v>45029</v>
      </c>
      <c r="Q458" s="1">
        <f t="shared" ca="1" si="89"/>
        <v>45034</v>
      </c>
      <c r="R458">
        <f t="shared" ca="1" si="90"/>
        <v>50</v>
      </c>
      <c r="S458" t="str">
        <f t="shared" ca="1" si="91"/>
        <v>Late</v>
      </c>
      <c r="T458" t="str">
        <f t="shared" ca="1" si="92"/>
        <v>31-60</v>
      </c>
      <c r="U458">
        <f t="shared" ca="1" si="93"/>
        <v>5</v>
      </c>
      <c r="V458" t="str">
        <f t="shared" ca="1" si="94"/>
        <v>Inefficient</v>
      </c>
      <c r="W458">
        <f t="shared" si="95"/>
        <v>13043.07</v>
      </c>
    </row>
    <row r="459" spans="1:23" x14ac:dyDescent="0.35">
      <c r="A459" t="s">
        <v>484</v>
      </c>
      <c r="B459" t="s">
        <v>23</v>
      </c>
      <c r="C459" s="1">
        <v>45197</v>
      </c>
      <c r="D459" s="1">
        <v>45217</v>
      </c>
      <c r="E459" t="s">
        <v>13</v>
      </c>
      <c r="F459" t="s">
        <v>18</v>
      </c>
      <c r="G459">
        <v>526</v>
      </c>
      <c r="H459">
        <v>26.37</v>
      </c>
      <c r="I459">
        <v>25.32</v>
      </c>
      <c r="J459">
        <v>47</v>
      </c>
      <c r="K459">
        <f t="shared" si="84"/>
        <v>479</v>
      </c>
      <c r="L459" t="s">
        <v>15</v>
      </c>
      <c r="M459" s="1">
        <f t="shared" si="85"/>
        <v>45217</v>
      </c>
      <c r="N459" t="str">
        <f t="shared" ca="1" si="86"/>
        <v>Net 30</v>
      </c>
      <c r="O459">
        <f t="shared" ca="1" si="87"/>
        <v>30</v>
      </c>
      <c r="P459" s="1">
        <f t="shared" ca="1" si="88"/>
        <v>45247</v>
      </c>
      <c r="Q459" s="1">
        <f t="shared" ca="1" si="89"/>
        <v>45253</v>
      </c>
      <c r="R459">
        <f t="shared" ca="1" si="90"/>
        <v>36</v>
      </c>
      <c r="S459" t="str">
        <f t="shared" ca="1" si="91"/>
        <v>Late</v>
      </c>
      <c r="T459" t="str">
        <f t="shared" ca="1" si="92"/>
        <v>31-60</v>
      </c>
      <c r="U459">
        <f t="shared" ca="1" si="93"/>
        <v>6</v>
      </c>
      <c r="V459" t="str">
        <f t="shared" ca="1" si="94"/>
        <v>Inefficient</v>
      </c>
      <c r="W459">
        <f t="shared" si="95"/>
        <v>13318.32</v>
      </c>
    </row>
    <row r="460" spans="1:23" x14ac:dyDescent="0.35">
      <c r="A460" t="s">
        <v>485</v>
      </c>
      <c r="B460" t="s">
        <v>20</v>
      </c>
      <c r="C460" s="1">
        <v>44720</v>
      </c>
      <c r="D460" s="1">
        <v>44726</v>
      </c>
      <c r="E460" t="s">
        <v>39</v>
      </c>
      <c r="F460" t="s">
        <v>18</v>
      </c>
      <c r="G460">
        <v>1119</v>
      </c>
      <c r="H460">
        <v>27.03</v>
      </c>
      <c r="I460">
        <v>23.82</v>
      </c>
      <c r="K460">
        <f t="shared" si="84"/>
        <v>1119</v>
      </c>
      <c r="L460" t="s">
        <v>15</v>
      </c>
      <c r="M460" s="1">
        <f t="shared" si="85"/>
        <v>44726</v>
      </c>
      <c r="N460" t="str">
        <f t="shared" ca="1" si="86"/>
        <v>Net 45</v>
      </c>
      <c r="O460">
        <f t="shared" ca="1" si="87"/>
        <v>45</v>
      </c>
      <c r="P460" s="1">
        <f t="shared" ca="1" si="88"/>
        <v>44771</v>
      </c>
      <c r="Q460" s="1">
        <f t="shared" ca="1" si="89"/>
        <v>44772</v>
      </c>
      <c r="R460">
        <f t="shared" ca="1" si="90"/>
        <v>46</v>
      </c>
      <c r="S460" t="str">
        <f t="shared" ca="1" si="91"/>
        <v>Late</v>
      </c>
      <c r="T460" t="str">
        <f t="shared" ca="1" si="92"/>
        <v>31-60</v>
      </c>
      <c r="U460">
        <f t="shared" ca="1" si="93"/>
        <v>1</v>
      </c>
      <c r="V460" t="str">
        <f t="shared" ca="1" si="94"/>
        <v>Inefficient</v>
      </c>
      <c r="W460">
        <f t="shared" si="95"/>
        <v>26654.58</v>
      </c>
    </row>
    <row r="461" spans="1:23" x14ac:dyDescent="0.35">
      <c r="A461" t="s">
        <v>486</v>
      </c>
      <c r="B461" t="s">
        <v>20</v>
      </c>
      <c r="C461" s="1">
        <v>44804</v>
      </c>
      <c r="D461" s="1">
        <v>44806</v>
      </c>
      <c r="E461" t="s">
        <v>24</v>
      </c>
      <c r="F461" t="s">
        <v>18</v>
      </c>
      <c r="G461">
        <v>1446</v>
      </c>
      <c r="H461">
        <v>90.63</v>
      </c>
      <c r="I461">
        <v>84.51</v>
      </c>
      <c r="J461">
        <v>77</v>
      </c>
      <c r="K461">
        <f t="shared" si="84"/>
        <v>1369</v>
      </c>
      <c r="L461" t="s">
        <v>15</v>
      </c>
      <c r="M461" s="1">
        <f t="shared" si="85"/>
        <v>44806</v>
      </c>
      <c r="N461" t="str">
        <f t="shared" ca="1" si="86"/>
        <v>Net 15</v>
      </c>
      <c r="O461">
        <f t="shared" ca="1" si="87"/>
        <v>15</v>
      </c>
      <c r="P461" s="1">
        <f t="shared" ca="1" si="88"/>
        <v>44821</v>
      </c>
      <c r="Q461" s="1">
        <f t="shared" ca="1" si="89"/>
        <v>44827</v>
      </c>
      <c r="R461">
        <f t="shared" ca="1" si="90"/>
        <v>21</v>
      </c>
      <c r="S461" t="str">
        <f t="shared" ca="1" si="91"/>
        <v>Late</v>
      </c>
      <c r="T461" t="str">
        <f t="shared" ca="1" si="92"/>
        <v>0-30</v>
      </c>
      <c r="U461">
        <f t="shared" ca="1" si="93"/>
        <v>6</v>
      </c>
      <c r="V461" t="str">
        <f t="shared" ca="1" si="94"/>
        <v>Inefficient</v>
      </c>
      <c r="W461">
        <f t="shared" si="95"/>
        <v>122201.46</v>
      </c>
    </row>
    <row r="462" spans="1:23" x14ac:dyDescent="0.35">
      <c r="A462" t="s">
        <v>487</v>
      </c>
      <c r="B462" t="s">
        <v>20</v>
      </c>
      <c r="C462" s="1">
        <v>44728</v>
      </c>
      <c r="D462" s="1">
        <v>44736</v>
      </c>
      <c r="E462" t="s">
        <v>13</v>
      </c>
      <c r="F462" t="s">
        <v>18</v>
      </c>
      <c r="G462">
        <v>567</v>
      </c>
      <c r="H462">
        <v>97.53</v>
      </c>
      <c r="I462">
        <v>85.29</v>
      </c>
      <c r="J462">
        <v>21</v>
      </c>
      <c r="K462">
        <f t="shared" si="84"/>
        <v>546</v>
      </c>
      <c r="L462" t="s">
        <v>15</v>
      </c>
      <c r="M462" s="1">
        <f t="shared" si="85"/>
        <v>44736</v>
      </c>
      <c r="N462" t="str">
        <f t="shared" ca="1" si="86"/>
        <v>Net 30</v>
      </c>
      <c r="O462">
        <f t="shared" ca="1" si="87"/>
        <v>30</v>
      </c>
      <c r="P462" s="1">
        <f t="shared" ca="1" si="88"/>
        <v>44766</v>
      </c>
      <c r="Q462" s="1">
        <f t="shared" ca="1" si="89"/>
        <v>44771</v>
      </c>
      <c r="R462">
        <f t="shared" ca="1" si="90"/>
        <v>35</v>
      </c>
      <c r="S462" t="str">
        <f t="shared" ca="1" si="91"/>
        <v>Late</v>
      </c>
      <c r="T462" t="str">
        <f t="shared" ca="1" si="92"/>
        <v>31-60</v>
      </c>
      <c r="U462">
        <f t="shared" ca="1" si="93"/>
        <v>5</v>
      </c>
      <c r="V462" t="str">
        <f t="shared" ca="1" si="94"/>
        <v>Inefficient</v>
      </c>
      <c r="W462">
        <f t="shared" si="95"/>
        <v>48359.43</v>
      </c>
    </row>
    <row r="463" spans="1:23" x14ac:dyDescent="0.35">
      <c r="A463" t="s">
        <v>488</v>
      </c>
      <c r="B463" t="s">
        <v>17</v>
      </c>
      <c r="C463" s="1">
        <v>44743</v>
      </c>
      <c r="E463" t="s">
        <v>21</v>
      </c>
      <c r="F463" t="s">
        <v>18</v>
      </c>
      <c r="G463">
        <v>148</v>
      </c>
      <c r="H463">
        <v>44.91</v>
      </c>
      <c r="I463">
        <v>40.1</v>
      </c>
      <c r="K463">
        <f t="shared" si="84"/>
        <v>148</v>
      </c>
      <c r="L463" t="s">
        <v>27</v>
      </c>
      <c r="M463" s="1">
        <f t="shared" si="85"/>
        <v>0</v>
      </c>
      <c r="N463" t="str">
        <f t="shared" ca="1" si="86"/>
        <v>Net 30</v>
      </c>
      <c r="O463">
        <f t="shared" ca="1" si="87"/>
        <v>30</v>
      </c>
      <c r="P463" s="1">
        <f t="shared" ca="1" si="88"/>
        <v>30</v>
      </c>
      <c r="Q463" s="1">
        <f t="shared" ca="1" si="89"/>
        <v>45</v>
      </c>
      <c r="R463">
        <f t="shared" ca="1" si="90"/>
        <v>45</v>
      </c>
      <c r="S463" t="str">
        <f t="shared" ca="1" si="91"/>
        <v>Late</v>
      </c>
      <c r="T463" t="str">
        <f t="shared" ca="1" si="92"/>
        <v>31-60</v>
      </c>
      <c r="U463">
        <f t="shared" ca="1" si="93"/>
        <v>15</v>
      </c>
      <c r="V463" t="str">
        <f t="shared" ca="1" si="94"/>
        <v>Inefficient</v>
      </c>
      <c r="W463">
        <f t="shared" si="95"/>
        <v>5934.8</v>
      </c>
    </row>
    <row r="464" spans="1:23" x14ac:dyDescent="0.35">
      <c r="A464" t="s">
        <v>489</v>
      </c>
      <c r="B464" t="s">
        <v>23</v>
      </c>
      <c r="C464" s="1">
        <v>44984</v>
      </c>
      <c r="D464" s="1">
        <v>44999</v>
      </c>
      <c r="E464" t="s">
        <v>21</v>
      </c>
      <c r="F464" t="s">
        <v>35</v>
      </c>
      <c r="G464">
        <v>1965</v>
      </c>
      <c r="H464">
        <v>36.6</v>
      </c>
      <c r="I464">
        <v>34.64</v>
      </c>
      <c r="J464">
        <v>195</v>
      </c>
      <c r="K464">
        <f t="shared" si="84"/>
        <v>1770</v>
      </c>
      <c r="L464" t="s">
        <v>15</v>
      </c>
      <c r="M464" s="1">
        <f t="shared" si="85"/>
        <v>44999</v>
      </c>
      <c r="N464" t="str">
        <f t="shared" ca="1" si="86"/>
        <v>Net 30</v>
      </c>
      <c r="O464">
        <f t="shared" ca="1" si="87"/>
        <v>30</v>
      </c>
      <c r="P464" s="1">
        <f t="shared" ca="1" si="88"/>
        <v>45029</v>
      </c>
      <c r="Q464" s="1">
        <f t="shared" ca="1" si="89"/>
        <v>45034</v>
      </c>
      <c r="R464">
        <f t="shared" ca="1" si="90"/>
        <v>35</v>
      </c>
      <c r="S464" t="str">
        <f t="shared" ca="1" si="91"/>
        <v>Late</v>
      </c>
      <c r="T464" t="str">
        <f t="shared" ca="1" si="92"/>
        <v>31-60</v>
      </c>
      <c r="U464">
        <f t="shared" ca="1" si="93"/>
        <v>5</v>
      </c>
      <c r="V464" t="str">
        <f t="shared" ca="1" si="94"/>
        <v>Inefficient</v>
      </c>
      <c r="W464">
        <f t="shared" si="95"/>
        <v>68067.600000000006</v>
      </c>
    </row>
    <row r="465" spans="1:23" x14ac:dyDescent="0.35">
      <c r="A465" t="s">
        <v>490</v>
      </c>
      <c r="B465" t="s">
        <v>12</v>
      </c>
      <c r="C465" s="1">
        <v>44587</v>
      </c>
      <c r="D465" s="1">
        <v>44595</v>
      </c>
      <c r="E465" t="s">
        <v>13</v>
      </c>
      <c r="F465" t="s">
        <v>35</v>
      </c>
      <c r="G465">
        <v>1818</v>
      </c>
      <c r="H465">
        <v>67.959999999999994</v>
      </c>
      <c r="I465">
        <v>58.98</v>
      </c>
      <c r="K465">
        <f t="shared" si="84"/>
        <v>1818</v>
      </c>
      <c r="L465" t="s">
        <v>15</v>
      </c>
      <c r="M465" s="1">
        <f t="shared" si="85"/>
        <v>44595</v>
      </c>
      <c r="N465" t="str">
        <f t="shared" ca="1" si="86"/>
        <v>Net 30</v>
      </c>
      <c r="O465">
        <f t="shared" ca="1" si="87"/>
        <v>30</v>
      </c>
      <c r="P465" s="1">
        <f t="shared" ca="1" si="88"/>
        <v>44625</v>
      </c>
      <c r="Q465" s="1">
        <f t="shared" ca="1" si="89"/>
        <v>44627</v>
      </c>
      <c r="R465">
        <f t="shared" ca="1" si="90"/>
        <v>32</v>
      </c>
      <c r="S465" t="str">
        <f t="shared" ca="1" si="91"/>
        <v>Late</v>
      </c>
      <c r="T465" t="str">
        <f t="shared" ca="1" si="92"/>
        <v>31-60</v>
      </c>
      <c r="U465">
        <f t="shared" ca="1" si="93"/>
        <v>2</v>
      </c>
      <c r="V465" t="str">
        <f t="shared" ca="1" si="94"/>
        <v>Inefficient</v>
      </c>
      <c r="W465">
        <f t="shared" si="95"/>
        <v>107225.64</v>
      </c>
    </row>
    <row r="466" spans="1:23" x14ac:dyDescent="0.35">
      <c r="A466" t="s">
        <v>491</v>
      </c>
      <c r="B466" t="s">
        <v>23</v>
      </c>
      <c r="C466" s="1">
        <v>44745</v>
      </c>
      <c r="D466" s="1">
        <v>44761</v>
      </c>
      <c r="E466" t="s">
        <v>21</v>
      </c>
      <c r="F466" t="s">
        <v>18</v>
      </c>
      <c r="G466">
        <v>1110</v>
      </c>
      <c r="H466">
        <v>48.19</v>
      </c>
      <c r="I466">
        <v>45.88</v>
      </c>
      <c r="J466">
        <v>112</v>
      </c>
      <c r="K466">
        <f t="shared" si="84"/>
        <v>998</v>
      </c>
      <c r="L466" t="s">
        <v>15</v>
      </c>
      <c r="M466" s="1">
        <f t="shared" si="85"/>
        <v>44761</v>
      </c>
      <c r="N466" t="str">
        <f t="shared" ca="1" si="86"/>
        <v>Net 30</v>
      </c>
      <c r="O466">
        <f t="shared" ca="1" si="87"/>
        <v>30</v>
      </c>
      <c r="P466" s="1">
        <f t="shared" ca="1" si="88"/>
        <v>44791</v>
      </c>
      <c r="Q466" s="1">
        <f t="shared" ca="1" si="89"/>
        <v>44793</v>
      </c>
      <c r="R466">
        <f t="shared" ca="1" si="90"/>
        <v>32</v>
      </c>
      <c r="S466" t="str">
        <f t="shared" ca="1" si="91"/>
        <v>Late</v>
      </c>
      <c r="T466" t="str">
        <f t="shared" ca="1" si="92"/>
        <v>31-60</v>
      </c>
      <c r="U466">
        <f t="shared" ca="1" si="93"/>
        <v>2</v>
      </c>
      <c r="V466" t="str">
        <f t="shared" ca="1" si="94"/>
        <v>Inefficient</v>
      </c>
      <c r="W466">
        <f t="shared" si="95"/>
        <v>50926.8</v>
      </c>
    </row>
    <row r="467" spans="1:23" x14ac:dyDescent="0.35">
      <c r="A467" t="s">
        <v>492</v>
      </c>
      <c r="B467" t="s">
        <v>17</v>
      </c>
      <c r="C467" s="1">
        <v>44902</v>
      </c>
      <c r="E467" t="s">
        <v>26</v>
      </c>
      <c r="F467" t="s">
        <v>18</v>
      </c>
      <c r="G467">
        <v>329</v>
      </c>
      <c r="H467">
        <v>12.96</v>
      </c>
      <c r="I467">
        <v>12.74</v>
      </c>
      <c r="J467">
        <v>48</v>
      </c>
      <c r="K467">
        <f t="shared" si="84"/>
        <v>281</v>
      </c>
      <c r="L467" t="s">
        <v>15</v>
      </c>
      <c r="M467" s="1">
        <f t="shared" si="85"/>
        <v>0</v>
      </c>
      <c r="N467" t="str">
        <f t="shared" ca="1" si="86"/>
        <v>Net 30</v>
      </c>
      <c r="O467">
        <f t="shared" ca="1" si="87"/>
        <v>30</v>
      </c>
      <c r="P467" s="1">
        <f t="shared" ca="1" si="88"/>
        <v>30</v>
      </c>
      <c r="Q467" s="1">
        <f t="shared" ca="1" si="89"/>
        <v>25</v>
      </c>
      <c r="R467">
        <f t="shared" ca="1" si="90"/>
        <v>25</v>
      </c>
      <c r="S467" t="str">
        <f t="shared" ca="1" si="91"/>
        <v>On Time</v>
      </c>
      <c r="T467" t="str">
        <f t="shared" ca="1" si="92"/>
        <v>0-30</v>
      </c>
      <c r="U467">
        <f t="shared" ca="1" si="93"/>
        <v>0</v>
      </c>
      <c r="V467" t="str">
        <f t="shared" ca="1" si="94"/>
        <v>Efficient</v>
      </c>
      <c r="W467">
        <f t="shared" si="95"/>
        <v>4191.46</v>
      </c>
    </row>
    <row r="468" spans="1:23" x14ac:dyDescent="0.35">
      <c r="A468" t="s">
        <v>493</v>
      </c>
      <c r="B468" t="s">
        <v>20</v>
      </c>
      <c r="C468" s="1">
        <v>44983</v>
      </c>
      <c r="D468" s="1">
        <v>45002</v>
      </c>
      <c r="E468" t="s">
        <v>13</v>
      </c>
      <c r="F468" t="s">
        <v>14</v>
      </c>
      <c r="G468">
        <v>1422</v>
      </c>
      <c r="H468">
        <v>25.62</v>
      </c>
      <c r="I468">
        <v>25.18</v>
      </c>
      <c r="J468">
        <v>65</v>
      </c>
      <c r="K468">
        <f t="shared" si="84"/>
        <v>1357</v>
      </c>
      <c r="L468" t="s">
        <v>15</v>
      </c>
      <c r="M468" s="1">
        <f t="shared" si="85"/>
        <v>45002</v>
      </c>
      <c r="N468" t="str">
        <f t="shared" ca="1" si="86"/>
        <v>Net 45</v>
      </c>
      <c r="O468">
        <f t="shared" ca="1" si="87"/>
        <v>45</v>
      </c>
      <c r="P468" s="1">
        <f t="shared" ca="1" si="88"/>
        <v>45047</v>
      </c>
      <c r="Q468" s="1">
        <f t="shared" ca="1" si="89"/>
        <v>45055</v>
      </c>
      <c r="R468">
        <f t="shared" ca="1" si="90"/>
        <v>53</v>
      </c>
      <c r="S468" t="str">
        <f t="shared" ca="1" si="91"/>
        <v>Late</v>
      </c>
      <c r="T468" t="str">
        <f t="shared" ca="1" si="92"/>
        <v>31-60</v>
      </c>
      <c r="U468">
        <f t="shared" ca="1" si="93"/>
        <v>8</v>
      </c>
      <c r="V468" t="str">
        <f t="shared" ca="1" si="94"/>
        <v>Inefficient</v>
      </c>
      <c r="W468">
        <f t="shared" si="95"/>
        <v>35805.96</v>
      </c>
    </row>
    <row r="469" spans="1:23" x14ac:dyDescent="0.35">
      <c r="A469" t="s">
        <v>494</v>
      </c>
      <c r="B469" t="s">
        <v>17</v>
      </c>
      <c r="C469" s="1">
        <v>45247</v>
      </c>
      <c r="E469" t="s">
        <v>26</v>
      </c>
      <c r="F469" t="s">
        <v>18</v>
      </c>
      <c r="G469">
        <v>546</v>
      </c>
      <c r="H469">
        <v>82.63</v>
      </c>
      <c r="I469">
        <v>74.77</v>
      </c>
      <c r="J469">
        <v>76</v>
      </c>
      <c r="K469">
        <f t="shared" si="84"/>
        <v>470</v>
      </c>
      <c r="L469" t="s">
        <v>27</v>
      </c>
      <c r="M469" s="1">
        <f t="shared" si="85"/>
        <v>0</v>
      </c>
      <c r="N469" t="str">
        <f t="shared" ca="1" si="86"/>
        <v>Net 15</v>
      </c>
      <c r="O469">
        <f t="shared" ca="1" si="87"/>
        <v>15</v>
      </c>
      <c r="P469" s="1">
        <f t="shared" ca="1" si="88"/>
        <v>15</v>
      </c>
      <c r="Q469" s="1">
        <f t="shared" ca="1" si="89"/>
        <v>17</v>
      </c>
      <c r="R469">
        <f t="shared" ca="1" si="90"/>
        <v>17</v>
      </c>
      <c r="S469" t="str">
        <f t="shared" ca="1" si="91"/>
        <v>Late</v>
      </c>
      <c r="T469" t="str">
        <f t="shared" ca="1" si="92"/>
        <v>0-30</v>
      </c>
      <c r="U469">
        <f t="shared" ca="1" si="93"/>
        <v>2</v>
      </c>
      <c r="V469" t="str">
        <f t="shared" ca="1" si="94"/>
        <v>Inefficient</v>
      </c>
      <c r="W469">
        <f t="shared" si="95"/>
        <v>40824.42</v>
      </c>
    </row>
    <row r="470" spans="1:23" x14ac:dyDescent="0.35">
      <c r="A470" t="s">
        <v>495</v>
      </c>
      <c r="B470" t="s">
        <v>20</v>
      </c>
      <c r="C470" s="1">
        <v>44816</v>
      </c>
      <c r="D470" s="1">
        <v>44826</v>
      </c>
      <c r="E470" t="s">
        <v>13</v>
      </c>
      <c r="F470" t="s">
        <v>33</v>
      </c>
      <c r="G470">
        <v>351</v>
      </c>
      <c r="H470">
        <v>72.08</v>
      </c>
      <c r="I470">
        <v>71.3</v>
      </c>
      <c r="J470">
        <v>20</v>
      </c>
      <c r="K470">
        <f t="shared" si="84"/>
        <v>331</v>
      </c>
      <c r="L470" t="s">
        <v>15</v>
      </c>
      <c r="M470" s="1">
        <f t="shared" si="85"/>
        <v>44826</v>
      </c>
      <c r="N470" t="str">
        <f t="shared" ca="1" si="86"/>
        <v>Net 30</v>
      </c>
      <c r="O470">
        <f t="shared" ca="1" si="87"/>
        <v>30</v>
      </c>
      <c r="P470" s="1">
        <f t="shared" ca="1" si="88"/>
        <v>44856</v>
      </c>
      <c r="Q470" s="1">
        <f t="shared" ca="1" si="89"/>
        <v>44876</v>
      </c>
      <c r="R470">
        <f t="shared" ca="1" si="90"/>
        <v>50</v>
      </c>
      <c r="S470" t="str">
        <f t="shared" ca="1" si="91"/>
        <v>Late</v>
      </c>
      <c r="T470" t="str">
        <f t="shared" ca="1" si="92"/>
        <v>31-60</v>
      </c>
      <c r="U470">
        <f t="shared" ca="1" si="93"/>
        <v>20</v>
      </c>
      <c r="V470" t="str">
        <f t="shared" ca="1" si="94"/>
        <v>Inefficient</v>
      </c>
      <c r="W470">
        <f t="shared" si="95"/>
        <v>25026.3</v>
      </c>
    </row>
    <row r="471" spans="1:23" x14ac:dyDescent="0.35">
      <c r="A471" t="s">
        <v>496</v>
      </c>
      <c r="B471" t="s">
        <v>17</v>
      </c>
      <c r="C471" s="1">
        <v>44835</v>
      </c>
      <c r="D471" s="1">
        <v>44852</v>
      </c>
      <c r="E471" t="s">
        <v>26</v>
      </c>
      <c r="F471" t="s">
        <v>33</v>
      </c>
      <c r="G471">
        <v>230</v>
      </c>
      <c r="H471">
        <v>13</v>
      </c>
      <c r="I471">
        <v>12.81</v>
      </c>
      <c r="K471">
        <f t="shared" si="84"/>
        <v>230</v>
      </c>
      <c r="L471" t="s">
        <v>27</v>
      </c>
      <c r="M471" s="1">
        <f t="shared" si="85"/>
        <v>44852</v>
      </c>
      <c r="N471" t="str">
        <f t="shared" ca="1" si="86"/>
        <v>Net 15</v>
      </c>
      <c r="O471">
        <f t="shared" ca="1" si="87"/>
        <v>15</v>
      </c>
      <c r="P471" s="1">
        <f t="shared" ca="1" si="88"/>
        <v>44867</v>
      </c>
      <c r="Q471" s="1">
        <f t="shared" ca="1" si="89"/>
        <v>44862</v>
      </c>
      <c r="R471">
        <f t="shared" ca="1" si="90"/>
        <v>10</v>
      </c>
      <c r="S471" t="str">
        <f t="shared" ca="1" si="91"/>
        <v>On Time</v>
      </c>
      <c r="T471" t="str">
        <f t="shared" ca="1" si="92"/>
        <v>0-30</v>
      </c>
      <c r="U471">
        <f t="shared" ca="1" si="93"/>
        <v>0</v>
      </c>
      <c r="V471" t="str">
        <f t="shared" ca="1" si="94"/>
        <v>Efficient</v>
      </c>
      <c r="W471">
        <f t="shared" si="95"/>
        <v>2946.3</v>
      </c>
    </row>
    <row r="472" spans="1:23" x14ac:dyDescent="0.35">
      <c r="A472" t="s">
        <v>497</v>
      </c>
      <c r="B472" t="s">
        <v>12</v>
      </c>
      <c r="C472" s="1">
        <v>44725</v>
      </c>
      <c r="D472" s="1">
        <v>44731</v>
      </c>
      <c r="E472" t="s">
        <v>21</v>
      </c>
      <c r="F472" t="s">
        <v>18</v>
      </c>
      <c r="G472">
        <v>656</v>
      </c>
      <c r="H472">
        <v>30.73</v>
      </c>
      <c r="I472">
        <v>26.26</v>
      </c>
      <c r="J472">
        <v>17</v>
      </c>
      <c r="K472">
        <f t="shared" si="84"/>
        <v>639</v>
      </c>
      <c r="L472" t="s">
        <v>15</v>
      </c>
      <c r="M472" s="1">
        <f t="shared" si="85"/>
        <v>44731</v>
      </c>
      <c r="N472" t="str">
        <f t="shared" ca="1" si="86"/>
        <v>Net 15</v>
      </c>
      <c r="O472">
        <f t="shared" ca="1" si="87"/>
        <v>15</v>
      </c>
      <c r="P472" s="1">
        <f t="shared" ca="1" si="88"/>
        <v>44746</v>
      </c>
      <c r="Q472" s="1">
        <f t="shared" ca="1" si="89"/>
        <v>44758</v>
      </c>
      <c r="R472">
        <f t="shared" ca="1" si="90"/>
        <v>27</v>
      </c>
      <c r="S472" t="str">
        <f t="shared" ca="1" si="91"/>
        <v>Late</v>
      </c>
      <c r="T472" t="str">
        <f t="shared" ca="1" si="92"/>
        <v>0-30</v>
      </c>
      <c r="U472">
        <f t="shared" ca="1" si="93"/>
        <v>12</v>
      </c>
      <c r="V472" t="str">
        <f t="shared" ca="1" si="94"/>
        <v>Inefficient</v>
      </c>
      <c r="W472">
        <f t="shared" si="95"/>
        <v>17226.560000000001</v>
      </c>
    </row>
    <row r="473" spans="1:23" x14ac:dyDescent="0.35">
      <c r="A473" t="s">
        <v>498</v>
      </c>
      <c r="B473" t="s">
        <v>20</v>
      </c>
      <c r="C473" s="1">
        <v>45280</v>
      </c>
      <c r="D473" s="1">
        <v>45300</v>
      </c>
      <c r="E473" t="s">
        <v>21</v>
      </c>
      <c r="F473" t="s">
        <v>18</v>
      </c>
      <c r="G473">
        <v>1172</v>
      </c>
      <c r="H473">
        <v>34.340000000000003</v>
      </c>
      <c r="I473">
        <v>32.090000000000003</v>
      </c>
      <c r="J473">
        <v>69</v>
      </c>
      <c r="K473">
        <f t="shared" si="84"/>
        <v>1103</v>
      </c>
      <c r="L473" t="s">
        <v>15</v>
      </c>
      <c r="M473" s="1">
        <f t="shared" si="85"/>
        <v>45300</v>
      </c>
      <c r="N473" t="str">
        <f t="shared" ca="1" si="86"/>
        <v>Net 45</v>
      </c>
      <c r="O473">
        <f t="shared" ca="1" si="87"/>
        <v>45</v>
      </c>
      <c r="P473" s="1">
        <f t="shared" ca="1" si="88"/>
        <v>45345</v>
      </c>
      <c r="Q473" s="1">
        <f t="shared" ca="1" si="89"/>
        <v>45352</v>
      </c>
      <c r="R473">
        <f t="shared" ca="1" si="90"/>
        <v>52</v>
      </c>
      <c r="S473" t="str">
        <f t="shared" ca="1" si="91"/>
        <v>Late</v>
      </c>
      <c r="T473" t="str">
        <f t="shared" ca="1" si="92"/>
        <v>31-60</v>
      </c>
      <c r="U473">
        <f t="shared" ca="1" si="93"/>
        <v>7</v>
      </c>
      <c r="V473" t="str">
        <f t="shared" ca="1" si="94"/>
        <v>Inefficient</v>
      </c>
      <c r="W473">
        <f t="shared" si="95"/>
        <v>37609.480000000003</v>
      </c>
    </row>
    <row r="474" spans="1:23" x14ac:dyDescent="0.35">
      <c r="A474" t="s">
        <v>499</v>
      </c>
      <c r="B474" t="s">
        <v>20</v>
      </c>
      <c r="C474" s="1">
        <v>44672</v>
      </c>
      <c r="D474" s="1">
        <v>44681</v>
      </c>
      <c r="E474" t="s">
        <v>39</v>
      </c>
      <c r="F474" t="s">
        <v>18</v>
      </c>
      <c r="G474">
        <v>749</v>
      </c>
      <c r="H474">
        <v>71.53</v>
      </c>
      <c r="I474">
        <v>70.02</v>
      </c>
      <c r="J474">
        <v>41</v>
      </c>
      <c r="K474">
        <f t="shared" si="84"/>
        <v>708</v>
      </c>
      <c r="L474" t="s">
        <v>15</v>
      </c>
      <c r="M474" s="1">
        <f t="shared" si="85"/>
        <v>44681</v>
      </c>
      <c r="N474" t="str">
        <f t="shared" ca="1" si="86"/>
        <v>Net 45</v>
      </c>
      <c r="O474">
        <f t="shared" ca="1" si="87"/>
        <v>45</v>
      </c>
      <c r="P474" s="1">
        <f t="shared" ca="1" si="88"/>
        <v>44726</v>
      </c>
      <c r="Q474" s="1">
        <f t="shared" ca="1" si="89"/>
        <v>44742</v>
      </c>
      <c r="R474">
        <f t="shared" ca="1" si="90"/>
        <v>61</v>
      </c>
      <c r="S474" t="str">
        <f t="shared" ca="1" si="91"/>
        <v>Late</v>
      </c>
      <c r="T474" t="str">
        <f t="shared" ca="1" si="92"/>
        <v>61-90</v>
      </c>
      <c r="U474">
        <f t="shared" ca="1" si="93"/>
        <v>16</v>
      </c>
      <c r="V474" t="str">
        <f t="shared" ca="1" si="94"/>
        <v>Inefficient</v>
      </c>
      <c r="W474">
        <f t="shared" si="95"/>
        <v>52444.979999999996</v>
      </c>
    </row>
    <row r="475" spans="1:23" x14ac:dyDescent="0.35">
      <c r="A475" t="s">
        <v>500</v>
      </c>
      <c r="B475" t="s">
        <v>23</v>
      </c>
      <c r="C475" s="1">
        <v>44953</v>
      </c>
      <c r="D475" s="1">
        <v>44969</v>
      </c>
      <c r="E475" t="s">
        <v>24</v>
      </c>
      <c r="F475" t="s">
        <v>18</v>
      </c>
      <c r="G475">
        <v>1042</v>
      </c>
      <c r="H475">
        <v>12.48</v>
      </c>
      <c r="I475">
        <v>12.3</v>
      </c>
      <c r="J475">
        <v>88</v>
      </c>
      <c r="K475">
        <f t="shared" si="84"/>
        <v>954</v>
      </c>
      <c r="L475" t="s">
        <v>15</v>
      </c>
      <c r="M475" s="1">
        <f t="shared" si="85"/>
        <v>44969</v>
      </c>
      <c r="N475" t="str">
        <f t="shared" ca="1" si="86"/>
        <v>Net 45</v>
      </c>
      <c r="O475">
        <f t="shared" ca="1" si="87"/>
        <v>45</v>
      </c>
      <c r="P475" s="1">
        <f t="shared" ca="1" si="88"/>
        <v>45014</v>
      </c>
      <c r="Q475" s="1">
        <f t="shared" ca="1" si="89"/>
        <v>45015</v>
      </c>
      <c r="R475">
        <f t="shared" ca="1" si="90"/>
        <v>46</v>
      </c>
      <c r="S475" t="str">
        <f t="shared" ca="1" si="91"/>
        <v>Late</v>
      </c>
      <c r="T475" t="str">
        <f t="shared" ca="1" si="92"/>
        <v>31-60</v>
      </c>
      <c r="U475">
        <f t="shared" ca="1" si="93"/>
        <v>1</v>
      </c>
      <c r="V475" t="str">
        <f t="shared" ca="1" si="94"/>
        <v>Inefficient</v>
      </c>
      <c r="W475">
        <f t="shared" si="95"/>
        <v>12816.6</v>
      </c>
    </row>
    <row r="476" spans="1:23" x14ac:dyDescent="0.35">
      <c r="A476" t="s">
        <v>501</v>
      </c>
      <c r="B476" t="s">
        <v>17</v>
      </c>
      <c r="C476" s="1">
        <v>44601</v>
      </c>
      <c r="D476" s="1">
        <v>44619</v>
      </c>
      <c r="E476" t="s">
        <v>26</v>
      </c>
      <c r="F476" t="s">
        <v>18</v>
      </c>
      <c r="G476">
        <v>1189</v>
      </c>
      <c r="H476">
        <v>19.47</v>
      </c>
      <c r="I476">
        <v>17.149999999999999</v>
      </c>
      <c r="K476">
        <f t="shared" si="84"/>
        <v>1189</v>
      </c>
      <c r="L476" t="s">
        <v>27</v>
      </c>
      <c r="M476" s="1">
        <f t="shared" si="85"/>
        <v>44619</v>
      </c>
      <c r="N476" t="str">
        <f t="shared" ca="1" si="86"/>
        <v>Net 15</v>
      </c>
      <c r="O476">
        <f t="shared" ca="1" si="87"/>
        <v>15</v>
      </c>
      <c r="P476" s="1">
        <f t="shared" ca="1" si="88"/>
        <v>44634</v>
      </c>
      <c r="Q476" s="1">
        <f t="shared" ca="1" si="89"/>
        <v>44638</v>
      </c>
      <c r="R476">
        <f t="shared" ca="1" si="90"/>
        <v>19</v>
      </c>
      <c r="S476" t="str">
        <f t="shared" ca="1" si="91"/>
        <v>Late</v>
      </c>
      <c r="T476" t="str">
        <f t="shared" ca="1" si="92"/>
        <v>0-30</v>
      </c>
      <c r="U476">
        <f t="shared" ca="1" si="93"/>
        <v>4</v>
      </c>
      <c r="V476" t="str">
        <f t="shared" ca="1" si="94"/>
        <v>Inefficient</v>
      </c>
      <c r="W476">
        <f t="shared" si="95"/>
        <v>20391.349999999999</v>
      </c>
    </row>
    <row r="477" spans="1:23" x14ac:dyDescent="0.35">
      <c r="A477" t="s">
        <v>502</v>
      </c>
      <c r="B477" t="s">
        <v>29</v>
      </c>
      <c r="C477" s="1">
        <v>45043</v>
      </c>
      <c r="E477" t="s">
        <v>13</v>
      </c>
      <c r="F477" t="s">
        <v>18</v>
      </c>
      <c r="G477">
        <v>240</v>
      </c>
      <c r="H477">
        <v>88.14</v>
      </c>
      <c r="I477">
        <v>81.900000000000006</v>
      </c>
      <c r="J477">
        <v>4</v>
      </c>
      <c r="K477">
        <f t="shared" si="84"/>
        <v>236</v>
      </c>
      <c r="L477" t="s">
        <v>15</v>
      </c>
      <c r="M477" s="1">
        <f t="shared" si="85"/>
        <v>0</v>
      </c>
      <c r="N477" t="str">
        <f t="shared" ca="1" si="86"/>
        <v>Net 15</v>
      </c>
      <c r="O477">
        <f t="shared" ca="1" si="87"/>
        <v>15</v>
      </c>
      <c r="P477" s="1">
        <f t="shared" ca="1" si="88"/>
        <v>15</v>
      </c>
      <c r="Q477" s="1">
        <f t="shared" ca="1" si="89"/>
        <v>35</v>
      </c>
      <c r="R477">
        <f t="shared" ca="1" si="90"/>
        <v>35</v>
      </c>
      <c r="S477" t="str">
        <f t="shared" ca="1" si="91"/>
        <v>Late</v>
      </c>
      <c r="T477" t="str">
        <f t="shared" ca="1" si="92"/>
        <v>31-60</v>
      </c>
      <c r="U477">
        <f t="shared" ca="1" si="93"/>
        <v>20</v>
      </c>
      <c r="V477" t="str">
        <f t="shared" ca="1" si="94"/>
        <v>Inefficient</v>
      </c>
      <c r="W477">
        <f t="shared" si="95"/>
        <v>19656</v>
      </c>
    </row>
    <row r="478" spans="1:23" x14ac:dyDescent="0.35">
      <c r="A478" t="s">
        <v>503</v>
      </c>
      <c r="B478" t="s">
        <v>29</v>
      </c>
      <c r="C478" s="1">
        <v>44789</v>
      </c>
      <c r="D478" s="1">
        <v>44806</v>
      </c>
      <c r="E478" t="s">
        <v>21</v>
      </c>
      <c r="F478" t="s">
        <v>18</v>
      </c>
      <c r="G478">
        <v>302</v>
      </c>
      <c r="H478">
        <v>26.98</v>
      </c>
      <c r="I478">
        <v>26.47</v>
      </c>
      <c r="J478">
        <v>9</v>
      </c>
      <c r="K478">
        <f t="shared" si="84"/>
        <v>293</v>
      </c>
      <c r="L478" t="s">
        <v>15</v>
      </c>
      <c r="M478" s="1">
        <f t="shared" si="85"/>
        <v>44806</v>
      </c>
      <c r="N478" t="str">
        <f t="shared" ca="1" si="86"/>
        <v>Net 45</v>
      </c>
      <c r="O478">
        <f t="shared" ca="1" si="87"/>
        <v>45</v>
      </c>
      <c r="P478" s="1">
        <f t="shared" ca="1" si="88"/>
        <v>44851</v>
      </c>
      <c r="Q478" s="1">
        <f t="shared" ca="1" si="89"/>
        <v>44857</v>
      </c>
      <c r="R478">
        <f t="shared" ca="1" si="90"/>
        <v>51</v>
      </c>
      <c r="S478" t="str">
        <f t="shared" ca="1" si="91"/>
        <v>Late</v>
      </c>
      <c r="T478" t="str">
        <f t="shared" ca="1" si="92"/>
        <v>31-60</v>
      </c>
      <c r="U478">
        <f t="shared" ca="1" si="93"/>
        <v>6</v>
      </c>
      <c r="V478" t="str">
        <f t="shared" ca="1" si="94"/>
        <v>Inefficient</v>
      </c>
      <c r="W478">
        <f t="shared" si="95"/>
        <v>7993.94</v>
      </c>
    </row>
    <row r="479" spans="1:23" x14ac:dyDescent="0.35">
      <c r="A479" t="s">
        <v>504</v>
      </c>
      <c r="B479" t="s">
        <v>23</v>
      </c>
      <c r="C479" s="1">
        <v>44766</v>
      </c>
      <c r="D479" s="1">
        <v>44776</v>
      </c>
      <c r="E479" t="s">
        <v>21</v>
      </c>
      <c r="F479" t="s">
        <v>35</v>
      </c>
      <c r="G479">
        <v>1030</v>
      </c>
      <c r="H479">
        <v>70.81</v>
      </c>
      <c r="I479">
        <v>61.58</v>
      </c>
      <c r="K479">
        <f t="shared" si="84"/>
        <v>1030</v>
      </c>
      <c r="L479" t="s">
        <v>27</v>
      </c>
      <c r="M479" s="1">
        <f t="shared" si="85"/>
        <v>44776</v>
      </c>
      <c r="N479" t="str">
        <f t="shared" ca="1" si="86"/>
        <v>Net 45</v>
      </c>
      <c r="O479">
        <f t="shared" ca="1" si="87"/>
        <v>45</v>
      </c>
      <c r="P479" s="1">
        <f t="shared" ca="1" si="88"/>
        <v>44821</v>
      </c>
      <c r="Q479" s="1">
        <f t="shared" ca="1" si="89"/>
        <v>44828</v>
      </c>
      <c r="R479">
        <f t="shared" ca="1" si="90"/>
        <v>52</v>
      </c>
      <c r="S479" t="str">
        <f t="shared" ca="1" si="91"/>
        <v>Late</v>
      </c>
      <c r="T479" t="str">
        <f t="shared" ca="1" si="92"/>
        <v>31-60</v>
      </c>
      <c r="U479">
        <f t="shared" ca="1" si="93"/>
        <v>7</v>
      </c>
      <c r="V479" t="str">
        <f t="shared" ca="1" si="94"/>
        <v>Inefficient</v>
      </c>
      <c r="W479">
        <f t="shared" si="95"/>
        <v>63427.4</v>
      </c>
    </row>
    <row r="480" spans="1:23" x14ac:dyDescent="0.35">
      <c r="A480" t="s">
        <v>505</v>
      </c>
      <c r="B480" t="s">
        <v>17</v>
      </c>
      <c r="C480" s="1">
        <v>45033</v>
      </c>
      <c r="D480" s="1">
        <v>45039</v>
      </c>
      <c r="E480" t="s">
        <v>13</v>
      </c>
      <c r="F480" t="s">
        <v>18</v>
      </c>
      <c r="G480">
        <v>977</v>
      </c>
      <c r="H480">
        <v>33.79</v>
      </c>
      <c r="I480">
        <v>32.25</v>
      </c>
      <c r="J480">
        <v>137</v>
      </c>
      <c r="K480">
        <f t="shared" si="84"/>
        <v>840</v>
      </c>
      <c r="L480" t="s">
        <v>15</v>
      </c>
      <c r="M480" s="1">
        <f t="shared" si="85"/>
        <v>45039</v>
      </c>
      <c r="N480" t="str">
        <f t="shared" ca="1" si="86"/>
        <v>Net 15</v>
      </c>
      <c r="O480">
        <f t="shared" ca="1" si="87"/>
        <v>15</v>
      </c>
      <c r="P480" s="1">
        <f t="shared" ca="1" si="88"/>
        <v>45054</v>
      </c>
      <c r="Q480" s="1">
        <f t="shared" ca="1" si="89"/>
        <v>45050</v>
      </c>
      <c r="R480">
        <f t="shared" ca="1" si="90"/>
        <v>11</v>
      </c>
      <c r="S480" t="str">
        <f t="shared" ca="1" si="91"/>
        <v>On Time</v>
      </c>
      <c r="T480" t="str">
        <f t="shared" ca="1" si="92"/>
        <v>0-30</v>
      </c>
      <c r="U480">
        <f t="shared" ca="1" si="93"/>
        <v>0</v>
      </c>
      <c r="V480" t="str">
        <f t="shared" ca="1" si="94"/>
        <v>Efficient</v>
      </c>
      <c r="W480">
        <f t="shared" si="95"/>
        <v>31508.25</v>
      </c>
    </row>
    <row r="481" spans="1:23" x14ac:dyDescent="0.35">
      <c r="A481" t="s">
        <v>506</v>
      </c>
      <c r="B481" t="s">
        <v>12</v>
      </c>
      <c r="C481" s="1">
        <v>44920</v>
      </c>
      <c r="D481" s="1">
        <v>44937</v>
      </c>
      <c r="E481" t="s">
        <v>24</v>
      </c>
      <c r="F481" t="s">
        <v>18</v>
      </c>
      <c r="G481">
        <v>1234</v>
      </c>
      <c r="H481">
        <v>19.989999999999998</v>
      </c>
      <c r="I481">
        <v>17.66</v>
      </c>
      <c r="J481">
        <v>25</v>
      </c>
      <c r="K481">
        <f t="shared" si="84"/>
        <v>1209</v>
      </c>
      <c r="L481" t="s">
        <v>15</v>
      </c>
      <c r="M481" s="1">
        <f t="shared" si="85"/>
        <v>44937</v>
      </c>
      <c r="N481" t="str">
        <f t="shared" ca="1" si="86"/>
        <v>Net 30</v>
      </c>
      <c r="O481">
        <f t="shared" ca="1" si="87"/>
        <v>30</v>
      </c>
      <c r="P481" s="1">
        <f t="shared" ca="1" si="88"/>
        <v>44967</v>
      </c>
      <c r="Q481" s="1">
        <f t="shared" ca="1" si="89"/>
        <v>44970</v>
      </c>
      <c r="R481">
        <f t="shared" ca="1" si="90"/>
        <v>33</v>
      </c>
      <c r="S481" t="str">
        <f t="shared" ca="1" si="91"/>
        <v>Late</v>
      </c>
      <c r="T481" t="str">
        <f t="shared" ca="1" si="92"/>
        <v>31-60</v>
      </c>
      <c r="U481">
        <f t="shared" ca="1" si="93"/>
        <v>3</v>
      </c>
      <c r="V481" t="str">
        <f t="shared" ca="1" si="94"/>
        <v>Inefficient</v>
      </c>
      <c r="W481">
        <f t="shared" si="95"/>
        <v>21792.44</v>
      </c>
    </row>
    <row r="482" spans="1:23" x14ac:dyDescent="0.35">
      <c r="A482" t="s">
        <v>507</v>
      </c>
      <c r="B482" t="s">
        <v>23</v>
      </c>
      <c r="C482" s="1">
        <v>44874</v>
      </c>
      <c r="D482" s="1">
        <v>44888</v>
      </c>
      <c r="E482" t="s">
        <v>13</v>
      </c>
      <c r="F482" t="s">
        <v>18</v>
      </c>
      <c r="G482">
        <v>1329</v>
      </c>
      <c r="H482">
        <v>33.479999999999997</v>
      </c>
      <c r="I482">
        <v>33.06</v>
      </c>
      <c r="J482">
        <v>146</v>
      </c>
      <c r="K482">
        <f t="shared" si="84"/>
        <v>1183</v>
      </c>
      <c r="L482" t="s">
        <v>15</v>
      </c>
      <c r="M482" s="1">
        <f t="shared" si="85"/>
        <v>44888</v>
      </c>
      <c r="N482" t="str">
        <f t="shared" ca="1" si="86"/>
        <v>Net 15</v>
      </c>
      <c r="O482">
        <f t="shared" ca="1" si="87"/>
        <v>15</v>
      </c>
      <c r="P482" s="1">
        <f t="shared" ca="1" si="88"/>
        <v>44903</v>
      </c>
      <c r="Q482" s="1">
        <f t="shared" ca="1" si="89"/>
        <v>44898</v>
      </c>
      <c r="R482">
        <f t="shared" ca="1" si="90"/>
        <v>10</v>
      </c>
      <c r="S482" t="str">
        <f t="shared" ca="1" si="91"/>
        <v>On Time</v>
      </c>
      <c r="T482" t="str">
        <f t="shared" ca="1" si="92"/>
        <v>0-30</v>
      </c>
      <c r="U482">
        <f t="shared" ca="1" si="93"/>
        <v>0</v>
      </c>
      <c r="V482" t="str">
        <f t="shared" ca="1" si="94"/>
        <v>Efficient</v>
      </c>
      <c r="W482">
        <f t="shared" si="95"/>
        <v>43936.740000000005</v>
      </c>
    </row>
    <row r="483" spans="1:23" x14ac:dyDescent="0.35">
      <c r="A483" t="s">
        <v>508</v>
      </c>
      <c r="B483" t="s">
        <v>20</v>
      </c>
      <c r="C483" s="1">
        <v>44795</v>
      </c>
      <c r="D483" s="1">
        <v>44803</v>
      </c>
      <c r="E483" t="s">
        <v>26</v>
      </c>
      <c r="F483" t="s">
        <v>18</v>
      </c>
      <c r="G483">
        <v>1396</v>
      </c>
      <c r="H483">
        <v>77.63</v>
      </c>
      <c r="I483">
        <v>67.81</v>
      </c>
      <c r="J483">
        <v>58</v>
      </c>
      <c r="K483">
        <f t="shared" si="84"/>
        <v>1338</v>
      </c>
      <c r="L483" t="s">
        <v>15</v>
      </c>
      <c r="M483" s="1">
        <f t="shared" si="85"/>
        <v>44803</v>
      </c>
      <c r="N483" t="str">
        <f t="shared" ca="1" si="86"/>
        <v>Net 30</v>
      </c>
      <c r="O483">
        <f t="shared" ca="1" si="87"/>
        <v>30</v>
      </c>
      <c r="P483" s="1">
        <f t="shared" ca="1" si="88"/>
        <v>44833</v>
      </c>
      <c r="Q483" s="1">
        <f t="shared" ca="1" si="89"/>
        <v>44853</v>
      </c>
      <c r="R483">
        <f t="shared" ca="1" si="90"/>
        <v>50</v>
      </c>
      <c r="S483" t="str">
        <f t="shared" ca="1" si="91"/>
        <v>Late</v>
      </c>
      <c r="T483" t="str">
        <f t="shared" ca="1" si="92"/>
        <v>31-60</v>
      </c>
      <c r="U483">
        <f t="shared" ca="1" si="93"/>
        <v>20</v>
      </c>
      <c r="V483" t="str">
        <f t="shared" ca="1" si="94"/>
        <v>Inefficient</v>
      </c>
      <c r="W483">
        <f t="shared" si="95"/>
        <v>94662.760000000009</v>
      </c>
    </row>
    <row r="484" spans="1:23" x14ac:dyDescent="0.35">
      <c r="A484" t="s">
        <v>509</v>
      </c>
      <c r="B484" t="s">
        <v>12</v>
      </c>
      <c r="C484" s="1">
        <v>44790</v>
      </c>
      <c r="D484" s="1">
        <v>44802</v>
      </c>
      <c r="E484" t="s">
        <v>26</v>
      </c>
      <c r="F484" t="s">
        <v>18</v>
      </c>
      <c r="G484">
        <v>177</v>
      </c>
      <c r="H484">
        <v>90.06</v>
      </c>
      <c r="I484">
        <v>87.71</v>
      </c>
      <c r="J484">
        <v>7</v>
      </c>
      <c r="K484">
        <f t="shared" si="84"/>
        <v>170</v>
      </c>
      <c r="L484" t="s">
        <v>15</v>
      </c>
      <c r="M484" s="1">
        <f t="shared" si="85"/>
        <v>44802</v>
      </c>
      <c r="N484" t="str">
        <f t="shared" ca="1" si="86"/>
        <v>Net 45</v>
      </c>
      <c r="O484">
        <f t="shared" ca="1" si="87"/>
        <v>45</v>
      </c>
      <c r="P484" s="1">
        <f t="shared" ca="1" si="88"/>
        <v>44847</v>
      </c>
      <c r="Q484" s="1">
        <f t="shared" ca="1" si="89"/>
        <v>44859</v>
      </c>
      <c r="R484">
        <f t="shared" ca="1" si="90"/>
        <v>57</v>
      </c>
      <c r="S484" t="str">
        <f t="shared" ca="1" si="91"/>
        <v>Late</v>
      </c>
      <c r="T484" t="str">
        <f t="shared" ca="1" si="92"/>
        <v>31-60</v>
      </c>
      <c r="U484">
        <f t="shared" ca="1" si="93"/>
        <v>12</v>
      </c>
      <c r="V484" t="str">
        <f t="shared" ca="1" si="94"/>
        <v>Inefficient</v>
      </c>
      <c r="W484">
        <f t="shared" si="95"/>
        <v>15524.669999999998</v>
      </c>
    </row>
    <row r="485" spans="1:23" x14ac:dyDescent="0.35">
      <c r="A485" t="s">
        <v>510</v>
      </c>
      <c r="B485" t="s">
        <v>17</v>
      </c>
      <c r="C485" s="1">
        <v>44586</v>
      </c>
      <c r="E485" t="s">
        <v>39</v>
      </c>
      <c r="F485" t="s">
        <v>18</v>
      </c>
      <c r="G485">
        <v>67</v>
      </c>
      <c r="H485">
        <v>84.72</v>
      </c>
      <c r="I485">
        <v>73.06</v>
      </c>
      <c r="J485">
        <v>9</v>
      </c>
      <c r="K485">
        <f t="shared" si="84"/>
        <v>58</v>
      </c>
      <c r="L485" t="s">
        <v>15</v>
      </c>
      <c r="M485" s="1">
        <f t="shared" si="85"/>
        <v>0</v>
      </c>
      <c r="N485" t="str">
        <f t="shared" ca="1" si="86"/>
        <v>Net 15</v>
      </c>
      <c r="O485">
        <f t="shared" ca="1" si="87"/>
        <v>15</v>
      </c>
      <c r="P485" s="1">
        <f t="shared" ca="1" si="88"/>
        <v>15</v>
      </c>
      <c r="Q485" s="1">
        <f t="shared" ca="1" si="89"/>
        <v>35</v>
      </c>
      <c r="R485">
        <f t="shared" ca="1" si="90"/>
        <v>35</v>
      </c>
      <c r="S485" t="str">
        <f t="shared" ca="1" si="91"/>
        <v>Late</v>
      </c>
      <c r="T485" t="str">
        <f t="shared" ca="1" si="92"/>
        <v>31-60</v>
      </c>
      <c r="U485">
        <f t="shared" ca="1" si="93"/>
        <v>20</v>
      </c>
      <c r="V485" t="str">
        <f t="shared" ca="1" si="94"/>
        <v>Inefficient</v>
      </c>
      <c r="W485">
        <f t="shared" si="95"/>
        <v>4895.0200000000004</v>
      </c>
    </row>
    <row r="486" spans="1:23" x14ac:dyDescent="0.35">
      <c r="A486" t="s">
        <v>511</v>
      </c>
      <c r="B486" t="s">
        <v>20</v>
      </c>
      <c r="C486" s="1">
        <v>45237</v>
      </c>
      <c r="D486" s="1">
        <v>45250</v>
      </c>
      <c r="E486" t="s">
        <v>13</v>
      </c>
      <c r="F486" t="s">
        <v>18</v>
      </c>
      <c r="G486">
        <v>1866</v>
      </c>
      <c r="H486">
        <v>50.78</v>
      </c>
      <c r="I486">
        <v>48.2</v>
      </c>
      <c r="J486">
        <v>96</v>
      </c>
      <c r="K486">
        <f t="shared" si="84"/>
        <v>1770</v>
      </c>
      <c r="L486" t="s">
        <v>15</v>
      </c>
      <c r="M486" s="1">
        <f t="shared" si="85"/>
        <v>45250</v>
      </c>
      <c r="N486" t="str">
        <f t="shared" ca="1" si="86"/>
        <v>Net 30</v>
      </c>
      <c r="O486">
        <f t="shared" ca="1" si="87"/>
        <v>30</v>
      </c>
      <c r="P486" s="1">
        <f t="shared" ca="1" si="88"/>
        <v>45280</v>
      </c>
      <c r="Q486" s="1">
        <f t="shared" ca="1" si="89"/>
        <v>45285</v>
      </c>
      <c r="R486">
        <f t="shared" ca="1" si="90"/>
        <v>35</v>
      </c>
      <c r="S486" t="str">
        <f t="shared" ca="1" si="91"/>
        <v>Late</v>
      </c>
      <c r="T486" t="str">
        <f t="shared" ca="1" si="92"/>
        <v>31-60</v>
      </c>
      <c r="U486">
        <f t="shared" ca="1" si="93"/>
        <v>5</v>
      </c>
      <c r="V486" t="str">
        <f t="shared" ca="1" si="94"/>
        <v>Inefficient</v>
      </c>
      <c r="W486">
        <f t="shared" si="95"/>
        <v>89941.200000000012</v>
      </c>
    </row>
    <row r="487" spans="1:23" x14ac:dyDescent="0.35">
      <c r="A487" t="s">
        <v>512</v>
      </c>
      <c r="B487" t="s">
        <v>29</v>
      </c>
      <c r="C487" s="1">
        <v>44759</v>
      </c>
      <c r="D487" s="1">
        <v>44767</v>
      </c>
      <c r="E487" t="s">
        <v>21</v>
      </c>
      <c r="F487" t="s">
        <v>18</v>
      </c>
      <c r="G487">
        <v>1808</v>
      </c>
      <c r="H487">
        <v>72.23</v>
      </c>
      <c r="I487">
        <v>67.86</v>
      </c>
      <c r="J487">
        <v>53</v>
      </c>
      <c r="K487">
        <f t="shared" si="84"/>
        <v>1755</v>
      </c>
      <c r="L487" t="s">
        <v>15</v>
      </c>
      <c r="M487" s="1">
        <f t="shared" si="85"/>
        <v>44767</v>
      </c>
      <c r="N487" t="str">
        <f t="shared" ca="1" si="86"/>
        <v>Net 30</v>
      </c>
      <c r="O487">
        <f t="shared" ca="1" si="87"/>
        <v>30</v>
      </c>
      <c r="P487" s="1">
        <f t="shared" ca="1" si="88"/>
        <v>44797</v>
      </c>
      <c r="Q487" s="1">
        <f t="shared" ca="1" si="89"/>
        <v>44810</v>
      </c>
      <c r="R487">
        <f t="shared" ca="1" si="90"/>
        <v>43</v>
      </c>
      <c r="S487" t="str">
        <f t="shared" ca="1" si="91"/>
        <v>Late</v>
      </c>
      <c r="T487" t="str">
        <f t="shared" ca="1" si="92"/>
        <v>31-60</v>
      </c>
      <c r="U487">
        <f t="shared" ca="1" si="93"/>
        <v>13</v>
      </c>
      <c r="V487" t="str">
        <f t="shared" ca="1" si="94"/>
        <v>Inefficient</v>
      </c>
      <c r="W487">
        <f t="shared" si="95"/>
        <v>122690.88</v>
      </c>
    </row>
    <row r="488" spans="1:23" x14ac:dyDescent="0.35">
      <c r="A488" t="s">
        <v>513</v>
      </c>
      <c r="B488" t="s">
        <v>17</v>
      </c>
      <c r="C488" s="1">
        <v>44970</v>
      </c>
      <c r="D488" s="1">
        <v>44973</v>
      </c>
      <c r="E488" t="s">
        <v>39</v>
      </c>
      <c r="F488" t="s">
        <v>14</v>
      </c>
      <c r="G488">
        <v>615</v>
      </c>
      <c r="H488">
        <v>30.3</v>
      </c>
      <c r="I488">
        <v>29.52</v>
      </c>
      <c r="J488">
        <v>96</v>
      </c>
      <c r="K488">
        <f t="shared" si="84"/>
        <v>519</v>
      </c>
      <c r="L488" t="s">
        <v>15</v>
      </c>
      <c r="M488" s="1">
        <f t="shared" si="85"/>
        <v>44973</v>
      </c>
      <c r="N488" t="str">
        <f t="shared" ca="1" si="86"/>
        <v>Net 30</v>
      </c>
      <c r="O488">
        <f t="shared" ca="1" si="87"/>
        <v>30</v>
      </c>
      <c r="P488" s="1">
        <f t="shared" ca="1" si="88"/>
        <v>45003</v>
      </c>
      <c r="Q488" s="1">
        <f t="shared" ca="1" si="89"/>
        <v>45012</v>
      </c>
      <c r="R488">
        <f t="shared" ca="1" si="90"/>
        <v>39</v>
      </c>
      <c r="S488" t="str">
        <f t="shared" ca="1" si="91"/>
        <v>Late</v>
      </c>
      <c r="T488" t="str">
        <f t="shared" ca="1" si="92"/>
        <v>31-60</v>
      </c>
      <c r="U488">
        <f t="shared" ca="1" si="93"/>
        <v>9</v>
      </c>
      <c r="V488" t="str">
        <f t="shared" ca="1" si="94"/>
        <v>Inefficient</v>
      </c>
      <c r="W488">
        <f t="shared" si="95"/>
        <v>18154.8</v>
      </c>
    </row>
    <row r="489" spans="1:23" x14ac:dyDescent="0.35">
      <c r="A489" t="s">
        <v>514</v>
      </c>
      <c r="B489" t="s">
        <v>20</v>
      </c>
      <c r="C489" s="1">
        <v>44898</v>
      </c>
      <c r="D489" s="1">
        <v>44899</v>
      </c>
      <c r="E489" t="s">
        <v>13</v>
      </c>
      <c r="F489" t="s">
        <v>35</v>
      </c>
      <c r="G489">
        <v>619</v>
      </c>
      <c r="H489">
        <v>38.380000000000003</v>
      </c>
      <c r="I489">
        <v>35.020000000000003</v>
      </c>
      <c r="J489">
        <v>34</v>
      </c>
      <c r="K489">
        <f t="shared" si="84"/>
        <v>585</v>
      </c>
      <c r="L489" t="s">
        <v>15</v>
      </c>
      <c r="M489" s="1">
        <f t="shared" si="85"/>
        <v>44899</v>
      </c>
      <c r="N489" t="str">
        <f t="shared" ca="1" si="86"/>
        <v>Net 45</v>
      </c>
      <c r="O489">
        <f t="shared" ca="1" si="87"/>
        <v>45</v>
      </c>
      <c r="P489" s="1">
        <f t="shared" ca="1" si="88"/>
        <v>44944</v>
      </c>
      <c r="Q489" s="1">
        <f t="shared" ca="1" si="89"/>
        <v>44961</v>
      </c>
      <c r="R489">
        <f t="shared" ca="1" si="90"/>
        <v>62</v>
      </c>
      <c r="S489" t="str">
        <f t="shared" ca="1" si="91"/>
        <v>Late</v>
      </c>
      <c r="T489" t="str">
        <f t="shared" ca="1" si="92"/>
        <v>61-90</v>
      </c>
      <c r="U489">
        <f t="shared" ca="1" si="93"/>
        <v>17</v>
      </c>
      <c r="V489" t="str">
        <f t="shared" ca="1" si="94"/>
        <v>Inefficient</v>
      </c>
      <c r="W489">
        <f t="shared" si="95"/>
        <v>21677.38</v>
      </c>
    </row>
    <row r="490" spans="1:23" x14ac:dyDescent="0.35">
      <c r="A490" t="s">
        <v>515</v>
      </c>
      <c r="B490" t="s">
        <v>17</v>
      </c>
      <c r="C490" s="1">
        <v>44847</v>
      </c>
      <c r="D490" s="1">
        <v>44851</v>
      </c>
      <c r="E490" t="s">
        <v>13</v>
      </c>
      <c r="F490" t="s">
        <v>18</v>
      </c>
      <c r="G490">
        <v>1396</v>
      </c>
      <c r="H490">
        <v>94.75</v>
      </c>
      <c r="I490">
        <v>84.06</v>
      </c>
      <c r="J490">
        <v>210</v>
      </c>
      <c r="K490">
        <f t="shared" si="84"/>
        <v>1186</v>
      </c>
      <c r="L490" t="s">
        <v>15</v>
      </c>
      <c r="M490" s="1">
        <f t="shared" si="85"/>
        <v>44851</v>
      </c>
      <c r="N490" t="str">
        <f t="shared" ca="1" si="86"/>
        <v>Net 15</v>
      </c>
      <c r="O490">
        <f t="shared" ca="1" si="87"/>
        <v>15</v>
      </c>
      <c r="P490" s="1">
        <f t="shared" ca="1" si="88"/>
        <v>44866</v>
      </c>
      <c r="Q490" s="1">
        <f t="shared" ca="1" si="89"/>
        <v>44886</v>
      </c>
      <c r="R490">
        <f t="shared" ca="1" si="90"/>
        <v>35</v>
      </c>
      <c r="S490" t="str">
        <f t="shared" ca="1" si="91"/>
        <v>Late</v>
      </c>
      <c r="T490" t="str">
        <f t="shared" ca="1" si="92"/>
        <v>31-60</v>
      </c>
      <c r="U490">
        <f t="shared" ca="1" si="93"/>
        <v>20</v>
      </c>
      <c r="V490" t="str">
        <f t="shared" ca="1" si="94"/>
        <v>Inefficient</v>
      </c>
      <c r="W490">
        <f t="shared" si="95"/>
        <v>117347.76000000001</v>
      </c>
    </row>
    <row r="491" spans="1:23" x14ac:dyDescent="0.35">
      <c r="A491" t="s">
        <v>516</v>
      </c>
      <c r="B491" t="s">
        <v>20</v>
      </c>
      <c r="C491" s="1">
        <v>44633</v>
      </c>
      <c r="D491" s="1">
        <v>44644</v>
      </c>
      <c r="E491" t="s">
        <v>21</v>
      </c>
      <c r="F491" t="s">
        <v>18</v>
      </c>
      <c r="G491">
        <v>1945</v>
      </c>
      <c r="H491">
        <v>11.28</v>
      </c>
      <c r="I491">
        <v>9.98</v>
      </c>
      <c r="J491">
        <v>94</v>
      </c>
      <c r="K491">
        <f t="shared" si="84"/>
        <v>1851</v>
      </c>
      <c r="L491" t="s">
        <v>15</v>
      </c>
      <c r="M491" s="1">
        <f t="shared" si="85"/>
        <v>44644</v>
      </c>
      <c r="N491" t="str">
        <f t="shared" ca="1" si="86"/>
        <v>Net 30</v>
      </c>
      <c r="O491">
        <f t="shared" ca="1" si="87"/>
        <v>30</v>
      </c>
      <c r="P491" s="1">
        <f t="shared" ca="1" si="88"/>
        <v>44674</v>
      </c>
      <c r="Q491" s="1">
        <f t="shared" ca="1" si="89"/>
        <v>44674</v>
      </c>
      <c r="R491">
        <f t="shared" ca="1" si="90"/>
        <v>30</v>
      </c>
      <c r="S491" t="str">
        <f t="shared" ca="1" si="91"/>
        <v>On Time</v>
      </c>
      <c r="T491" t="str">
        <f t="shared" ca="1" si="92"/>
        <v>0-30</v>
      </c>
      <c r="U491">
        <f t="shared" ca="1" si="93"/>
        <v>0</v>
      </c>
      <c r="V491" t="str">
        <f t="shared" ca="1" si="94"/>
        <v>Efficient</v>
      </c>
      <c r="W491">
        <f t="shared" si="95"/>
        <v>19411.100000000002</v>
      </c>
    </row>
    <row r="492" spans="1:23" x14ac:dyDescent="0.35">
      <c r="A492" t="s">
        <v>517</v>
      </c>
      <c r="B492" t="s">
        <v>17</v>
      </c>
      <c r="C492" s="1">
        <v>44847</v>
      </c>
      <c r="D492" s="1">
        <v>44852</v>
      </c>
      <c r="E492" t="s">
        <v>24</v>
      </c>
      <c r="F492" t="s">
        <v>18</v>
      </c>
      <c r="G492">
        <v>735</v>
      </c>
      <c r="H492">
        <v>18.489999999999998</v>
      </c>
      <c r="I492">
        <v>15.89</v>
      </c>
      <c r="J492">
        <v>113</v>
      </c>
      <c r="K492">
        <f t="shared" si="84"/>
        <v>622</v>
      </c>
      <c r="L492" t="s">
        <v>27</v>
      </c>
      <c r="M492" s="1">
        <f t="shared" si="85"/>
        <v>44852</v>
      </c>
      <c r="N492" t="str">
        <f t="shared" ca="1" si="86"/>
        <v>Net 45</v>
      </c>
      <c r="O492">
        <f t="shared" ca="1" si="87"/>
        <v>45</v>
      </c>
      <c r="P492" s="1">
        <f t="shared" ca="1" si="88"/>
        <v>44897</v>
      </c>
      <c r="Q492" s="1">
        <f t="shared" ca="1" si="89"/>
        <v>44903</v>
      </c>
      <c r="R492">
        <f t="shared" ca="1" si="90"/>
        <v>51</v>
      </c>
      <c r="S492" t="str">
        <f t="shared" ca="1" si="91"/>
        <v>Late</v>
      </c>
      <c r="T492" t="str">
        <f t="shared" ca="1" si="92"/>
        <v>31-60</v>
      </c>
      <c r="U492">
        <f t="shared" ca="1" si="93"/>
        <v>6</v>
      </c>
      <c r="V492" t="str">
        <f t="shared" ca="1" si="94"/>
        <v>Inefficient</v>
      </c>
      <c r="W492">
        <f t="shared" si="95"/>
        <v>11679.15</v>
      </c>
    </row>
    <row r="493" spans="1:23" x14ac:dyDescent="0.35">
      <c r="A493" t="s">
        <v>518</v>
      </c>
      <c r="B493" t="s">
        <v>29</v>
      </c>
      <c r="C493" s="1">
        <v>44921</v>
      </c>
      <c r="D493" s="1">
        <v>44937</v>
      </c>
      <c r="E493" t="s">
        <v>13</v>
      </c>
      <c r="F493" t="s">
        <v>35</v>
      </c>
      <c r="G493">
        <v>1865</v>
      </c>
      <c r="H493">
        <v>30.29</v>
      </c>
      <c r="I493">
        <v>26.83</v>
      </c>
      <c r="J493">
        <v>56</v>
      </c>
      <c r="K493">
        <f t="shared" si="84"/>
        <v>1809</v>
      </c>
      <c r="L493" t="s">
        <v>15</v>
      </c>
      <c r="M493" s="1">
        <f t="shared" si="85"/>
        <v>44937</v>
      </c>
      <c r="N493" t="str">
        <f t="shared" ca="1" si="86"/>
        <v>Net 15</v>
      </c>
      <c r="O493">
        <f t="shared" ca="1" si="87"/>
        <v>15</v>
      </c>
      <c r="P493" s="1">
        <f t="shared" ca="1" si="88"/>
        <v>44952</v>
      </c>
      <c r="Q493" s="1">
        <f t="shared" ca="1" si="89"/>
        <v>44961</v>
      </c>
      <c r="R493">
        <f t="shared" ca="1" si="90"/>
        <v>24</v>
      </c>
      <c r="S493" t="str">
        <f t="shared" ca="1" si="91"/>
        <v>Late</v>
      </c>
      <c r="T493" t="str">
        <f t="shared" ca="1" si="92"/>
        <v>0-30</v>
      </c>
      <c r="U493">
        <f t="shared" ca="1" si="93"/>
        <v>9</v>
      </c>
      <c r="V493" t="str">
        <f t="shared" ca="1" si="94"/>
        <v>Inefficient</v>
      </c>
      <c r="W493">
        <f t="shared" si="95"/>
        <v>50037.95</v>
      </c>
    </row>
    <row r="494" spans="1:23" x14ac:dyDescent="0.35">
      <c r="A494" t="s">
        <v>519</v>
      </c>
      <c r="B494" t="s">
        <v>23</v>
      </c>
      <c r="C494" s="1">
        <v>45218</v>
      </c>
      <c r="D494" s="1">
        <v>45223</v>
      </c>
      <c r="E494" t="s">
        <v>39</v>
      </c>
      <c r="F494" t="s">
        <v>14</v>
      </c>
      <c r="G494">
        <v>675</v>
      </c>
      <c r="H494">
        <v>13.69</v>
      </c>
      <c r="I494">
        <v>11.84</v>
      </c>
      <c r="J494">
        <v>52</v>
      </c>
      <c r="K494">
        <f t="shared" si="84"/>
        <v>623</v>
      </c>
      <c r="L494" t="s">
        <v>15</v>
      </c>
      <c r="M494" s="1">
        <f t="shared" si="85"/>
        <v>45223</v>
      </c>
      <c r="N494" t="str">
        <f t="shared" ca="1" si="86"/>
        <v>Net 15</v>
      </c>
      <c r="O494">
        <f t="shared" ca="1" si="87"/>
        <v>15</v>
      </c>
      <c r="P494" s="1">
        <f t="shared" ca="1" si="88"/>
        <v>45238</v>
      </c>
      <c r="Q494" s="1">
        <f t="shared" ca="1" si="89"/>
        <v>45256</v>
      </c>
      <c r="R494">
        <f t="shared" ca="1" si="90"/>
        <v>33</v>
      </c>
      <c r="S494" t="str">
        <f t="shared" ca="1" si="91"/>
        <v>Late</v>
      </c>
      <c r="T494" t="str">
        <f t="shared" ca="1" si="92"/>
        <v>31-60</v>
      </c>
      <c r="U494">
        <f t="shared" ca="1" si="93"/>
        <v>18</v>
      </c>
      <c r="V494" t="str">
        <f t="shared" ca="1" si="94"/>
        <v>Inefficient</v>
      </c>
      <c r="W494">
        <f t="shared" si="95"/>
        <v>7992</v>
      </c>
    </row>
    <row r="495" spans="1:23" x14ac:dyDescent="0.35">
      <c r="A495" t="s">
        <v>520</v>
      </c>
      <c r="B495" t="s">
        <v>20</v>
      </c>
      <c r="C495" s="1">
        <v>45083</v>
      </c>
      <c r="D495" s="1">
        <v>45099</v>
      </c>
      <c r="E495" t="s">
        <v>21</v>
      </c>
      <c r="F495" t="s">
        <v>35</v>
      </c>
      <c r="G495">
        <v>1361</v>
      </c>
      <c r="H495">
        <v>28.57</v>
      </c>
      <c r="I495">
        <v>24.29</v>
      </c>
      <c r="J495">
        <v>65</v>
      </c>
      <c r="K495">
        <f t="shared" si="84"/>
        <v>1296</v>
      </c>
      <c r="L495" t="s">
        <v>15</v>
      </c>
      <c r="M495" s="1">
        <f t="shared" si="85"/>
        <v>45099</v>
      </c>
      <c r="N495" t="str">
        <f t="shared" ca="1" si="86"/>
        <v>Net 45</v>
      </c>
      <c r="O495">
        <f t="shared" ca="1" si="87"/>
        <v>45</v>
      </c>
      <c r="P495" s="1">
        <f t="shared" ca="1" si="88"/>
        <v>45144</v>
      </c>
      <c r="Q495" s="1">
        <f t="shared" ca="1" si="89"/>
        <v>45142</v>
      </c>
      <c r="R495">
        <f t="shared" ca="1" si="90"/>
        <v>43</v>
      </c>
      <c r="S495" t="str">
        <f t="shared" ca="1" si="91"/>
        <v>On Time</v>
      </c>
      <c r="T495" t="str">
        <f t="shared" ca="1" si="92"/>
        <v>31-60</v>
      </c>
      <c r="U495">
        <f t="shared" ca="1" si="93"/>
        <v>0</v>
      </c>
      <c r="V495" t="str">
        <f t="shared" ca="1" si="94"/>
        <v>Efficient</v>
      </c>
      <c r="W495">
        <f t="shared" si="95"/>
        <v>33058.69</v>
      </c>
    </row>
    <row r="496" spans="1:23" x14ac:dyDescent="0.35">
      <c r="A496" t="s">
        <v>521</v>
      </c>
      <c r="B496" t="s">
        <v>20</v>
      </c>
      <c r="C496" s="1">
        <v>44971</v>
      </c>
      <c r="D496" s="1">
        <v>44972</v>
      </c>
      <c r="E496" t="s">
        <v>26</v>
      </c>
      <c r="F496" t="s">
        <v>18</v>
      </c>
      <c r="G496">
        <v>903</v>
      </c>
      <c r="H496">
        <v>66.53</v>
      </c>
      <c r="I496">
        <v>60.15</v>
      </c>
      <c r="J496">
        <v>29</v>
      </c>
      <c r="K496">
        <f t="shared" si="84"/>
        <v>874</v>
      </c>
      <c r="L496" t="s">
        <v>15</v>
      </c>
      <c r="M496" s="1">
        <f t="shared" si="85"/>
        <v>44972</v>
      </c>
      <c r="N496" t="str">
        <f t="shared" ca="1" si="86"/>
        <v>Net 15</v>
      </c>
      <c r="O496">
        <f t="shared" ca="1" si="87"/>
        <v>15</v>
      </c>
      <c r="P496" s="1">
        <f t="shared" ca="1" si="88"/>
        <v>44987</v>
      </c>
      <c r="Q496" s="1">
        <f t="shared" ca="1" si="89"/>
        <v>44989</v>
      </c>
      <c r="R496">
        <f t="shared" ca="1" si="90"/>
        <v>17</v>
      </c>
      <c r="S496" t="str">
        <f t="shared" ca="1" si="91"/>
        <v>Late</v>
      </c>
      <c r="T496" t="str">
        <f t="shared" ca="1" si="92"/>
        <v>0-30</v>
      </c>
      <c r="U496">
        <f t="shared" ca="1" si="93"/>
        <v>2</v>
      </c>
      <c r="V496" t="str">
        <f t="shared" ca="1" si="94"/>
        <v>Inefficient</v>
      </c>
      <c r="W496">
        <f t="shared" si="95"/>
        <v>54315.45</v>
      </c>
    </row>
    <row r="497" spans="1:23" x14ac:dyDescent="0.35">
      <c r="A497" t="s">
        <v>522</v>
      </c>
      <c r="B497" t="s">
        <v>29</v>
      </c>
      <c r="C497" s="1">
        <v>45257</v>
      </c>
      <c r="E497" t="s">
        <v>24</v>
      </c>
      <c r="F497" t="s">
        <v>14</v>
      </c>
      <c r="G497">
        <v>1736</v>
      </c>
      <c r="H497">
        <v>53.2</v>
      </c>
      <c r="I497">
        <v>50.68</v>
      </c>
      <c r="J497">
        <v>48</v>
      </c>
      <c r="K497">
        <f t="shared" si="84"/>
        <v>1688</v>
      </c>
      <c r="L497" t="s">
        <v>15</v>
      </c>
      <c r="M497" s="1">
        <f t="shared" si="85"/>
        <v>0</v>
      </c>
      <c r="N497" t="str">
        <f t="shared" ca="1" si="86"/>
        <v>Net 15</v>
      </c>
      <c r="O497">
        <f t="shared" ca="1" si="87"/>
        <v>15</v>
      </c>
      <c r="P497" s="1">
        <f t="shared" ca="1" si="88"/>
        <v>15</v>
      </c>
      <c r="Q497" s="1">
        <f t="shared" ca="1" si="89"/>
        <v>25</v>
      </c>
      <c r="R497">
        <f t="shared" ca="1" si="90"/>
        <v>25</v>
      </c>
      <c r="S497" t="str">
        <f t="shared" ca="1" si="91"/>
        <v>Late</v>
      </c>
      <c r="T497" t="str">
        <f t="shared" ca="1" si="92"/>
        <v>0-30</v>
      </c>
      <c r="U497">
        <f t="shared" ca="1" si="93"/>
        <v>10</v>
      </c>
      <c r="V497" t="str">
        <f t="shared" ca="1" si="94"/>
        <v>Inefficient</v>
      </c>
      <c r="W497">
        <f t="shared" si="95"/>
        <v>87980.479999999996</v>
      </c>
    </row>
    <row r="498" spans="1:23" x14ac:dyDescent="0.35">
      <c r="A498" t="s">
        <v>523</v>
      </c>
      <c r="B498" t="s">
        <v>23</v>
      </c>
      <c r="C498" s="1">
        <v>45111</v>
      </c>
      <c r="D498" s="1">
        <v>45118</v>
      </c>
      <c r="E498" t="s">
        <v>21</v>
      </c>
      <c r="F498" t="s">
        <v>18</v>
      </c>
      <c r="G498">
        <v>1011</v>
      </c>
      <c r="H498">
        <v>98.47</v>
      </c>
      <c r="I498">
        <v>97.06</v>
      </c>
      <c r="J498">
        <v>91</v>
      </c>
      <c r="K498">
        <f t="shared" si="84"/>
        <v>920</v>
      </c>
      <c r="L498" t="s">
        <v>15</v>
      </c>
      <c r="M498" s="1">
        <f t="shared" si="85"/>
        <v>45118</v>
      </c>
      <c r="N498" t="str">
        <f t="shared" ca="1" si="86"/>
        <v>Net 45</v>
      </c>
      <c r="O498">
        <f t="shared" ca="1" si="87"/>
        <v>45</v>
      </c>
      <c r="P498" s="1">
        <f t="shared" ca="1" si="88"/>
        <v>45163</v>
      </c>
      <c r="Q498" s="1">
        <f t="shared" ca="1" si="89"/>
        <v>45171</v>
      </c>
      <c r="R498">
        <f t="shared" ca="1" si="90"/>
        <v>53</v>
      </c>
      <c r="S498" t="str">
        <f t="shared" ca="1" si="91"/>
        <v>Late</v>
      </c>
      <c r="T498" t="str">
        <f t="shared" ca="1" si="92"/>
        <v>31-60</v>
      </c>
      <c r="U498">
        <f t="shared" ca="1" si="93"/>
        <v>8</v>
      </c>
      <c r="V498" t="str">
        <f t="shared" ca="1" si="94"/>
        <v>Inefficient</v>
      </c>
      <c r="W498">
        <f t="shared" si="95"/>
        <v>98127.66</v>
      </c>
    </row>
    <row r="499" spans="1:23" x14ac:dyDescent="0.35">
      <c r="A499" t="s">
        <v>524</v>
      </c>
      <c r="B499" t="s">
        <v>17</v>
      </c>
      <c r="C499" s="1">
        <v>44901</v>
      </c>
      <c r="D499" s="1">
        <v>44919</v>
      </c>
      <c r="E499" t="s">
        <v>39</v>
      </c>
      <c r="F499" t="s">
        <v>18</v>
      </c>
      <c r="G499">
        <v>1712</v>
      </c>
      <c r="H499">
        <v>88.17</v>
      </c>
      <c r="I499">
        <v>85.86</v>
      </c>
      <c r="J499">
        <v>246</v>
      </c>
      <c r="K499">
        <f t="shared" si="84"/>
        <v>1466</v>
      </c>
      <c r="L499" t="s">
        <v>15</v>
      </c>
      <c r="M499" s="1">
        <f t="shared" si="85"/>
        <v>44919</v>
      </c>
      <c r="N499" t="str">
        <f t="shared" ca="1" si="86"/>
        <v>Net 30</v>
      </c>
      <c r="O499">
        <f t="shared" ca="1" si="87"/>
        <v>30</v>
      </c>
      <c r="P499" s="1">
        <f t="shared" ca="1" si="88"/>
        <v>44949</v>
      </c>
      <c r="Q499" s="1">
        <f t="shared" ca="1" si="89"/>
        <v>44963</v>
      </c>
      <c r="R499">
        <f t="shared" ca="1" si="90"/>
        <v>44</v>
      </c>
      <c r="S499" t="str">
        <f t="shared" ca="1" si="91"/>
        <v>Late</v>
      </c>
      <c r="T499" t="str">
        <f t="shared" ca="1" si="92"/>
        <v>31-60</v>
      </c>
      <c r="U499">
        <f t="shared" ca="1" si="93"/>
        <v>14</v>
      </c>
      <c r="V499" t="str">
        <f t="shared" ca="1" si="94"/>
        <v>Inefficient</v>
      </c>
      <c r="W499">
        <f t="shared" si="95"/>
        <v>146992.32000000001</v>
      </c>
    </row>
    <row r="500" spans="1:23" x14ac:dyDescent="0.35">
      <c r="A500" t="s">
        <v>525</v>
      </c>
      <c r="B500" t="s">
        <v>20</v>
      </c>
      <c r="C500" s="1">
        <v>44590</v>
      </c>
      <c r="E500" t="s">
        <v>13</v>
      </c>
      <c r="F500" t="s">
        <v>18</v>
      </c>
      <c r="G500">
        <v>204</v>
      </c>
      <c r="H500">
        <v>40.76</v>
      </c>
      <c r="I500">
        <v>37.46</v>
      </c>
      <c r="J500">
        <v>10</v>
      </c>
      <c r="K500">
        <f t="shared" si="84"/>
        <v>194</v>
      </c>
      <c r="L500" t="s">
        <v>15</v>
      </c>
      <c r="M500" s="1">
        <f t="shared" si="85"/>
        <v>0</v>
      </c>
      <c r="N500" t="str">
        <f t="shared" ca="1" si="86"/>
        <v>Net 30</v>
      </c>
      <c r="O500">
        <f t="shared" ca="1" si="87"/>
        <v>30</v>
      </c>
      <c r="P500" s="1">
        <f t="shared" ca="1" si="88"/>
        <v>30</v>
      </c>
      <c r="Q500" s="1">
        <f t="shared" ca="1" si="89"/>
        <v>45</v>
      </c>
      <c r="R500">
        <f t="shared" ca="1" si="90"/>
        <v>45</v>
      </c>
      <c r="S500" t="str">
        <f t="shared" ca="1" si="91"/>
        <v>Late</v>
      </c>
      <c r="T500" t="str">
        <f t="shared" ca="1" si="92"/>
        <v>31-60</v>
      </c>
      <c r="U500">
        <f t="shared" ca="1" si="93"/>
        <v>15</v>
      </c>
      <c r="V500" t="str">
        <f t="shared" ca="1" si="94"/>
        <v>Inefficient</v>
      </c>
      <c r="W500">
        <f t="shared" si="95"/>
        <v>7641.84</v>
      </c>
    </row>
    <row r="501" spans="1:23" x14ac:dyDescent="0.35">
      <c r="A501" t="s">
        <v>526</v>
      </c>
      <c r="B501" t="s">
        <v>23</v>
      </c>
      <c r="C501" s="1">
        <v>44680</v>
      </c>
      <c r="D501" s="1">
        <v>44694</v>
      </c>
      <c r="E501" t="s">
        <v>39</v>
      </c>
      <c r="F501" t="s">
        <v>33</v>
      </c>
      <c r="G501">
        <v>539</v>
      </c>
      <c r="H501">
        <v>33.85</v>
      </c>
      <c r="I501">
        <v>30.57</v>
      </c>
      <c r="J501">
        <v>34</v>
      </c>
      <c r="K501">
        <f t="shared" si="84"/>
        <v>505</v>
      </c>
      <c r="L501" t="s">
        <v>27</v>
      </c>
      <c r="M501" s="1">
        <f t="shared" si="85"/>
        <v>44694</v>
      </c>
      <c r="N501" t="str">
        <f t="shared" ca="1" si="86"/>
        <v>Net 45</v>
      </c>
      <c r="O501">
        <f t="shared" ca="1" si="87"/>
        <v>45</v>
      </c>
      <c r="P501" s="1">
        <f t="shared" ca="1" si="88"/>
        <v>44739</v>
      </c>
      <c r="Q501" s="1">
        <f t="shared" ca="1" si="89"/>
        <v>44739</v>
      </c>
      <c r="R501">
        <f t="shared" ca="1" si="90"/>
        <v>45</v>
      </c>
      <c r="S501" t="str">
        <f t="shared" ca="1" si="91"/>
        <v>On Time</v>
      </c>
      <c r="T501" t="str">
        <f t="shared" ca="1" si="92"/>
        <v>31-60</v>
      </c>
      <c r="U501">
        <f t="shared" ca="1" si="93"/>
        <v>0</v>
      </c>
      <c r="V501" t="str">
        <f t="shared" ca="1" si="94"/>
        <v>Efficient</v>
      </c>
      <c r="W501">
        <f t="shared" si="95"/>
        <v>16477.23</v>
      </c>
    </row>
    <row r="502" spans="1:23" x14ac:dyDescent="0.35">
      <c r="A502" t="s">
        <v>527</v>
      </c>
      <c r="B502" t="s">
        <v>17</v>
      </c>
      <c r="C502" s="1">
        <v>44829</v>
      </c>
      <c r="D502" s="1">
        <v>44839</v>
      </c>
      <c r="E502" t="s">
        <v>13</v>
      </c>
      <c r="F502" t="s">
        <v>18</v>
      </c>
      <c r="G502">
        <v>1459</v>
      </c>
      <c r="H502">
        <v>45.94</v>
      </c>
      <c r="I502">
        <v>42.56</v>
      </c>
      <c r="J502">
        <v>212</v>
      </c>
      <c r="K502">
        <f t="shared" si="84"/>
        <v>1247</v>
      </c>
      <c r="L502" t="s">
        <v>27</v>
      </c>
      <c r="M502" s="1">
        <f t="shared" si="85"/>
        <v>44839</v>
      </c>
      <c r="N502" t="str">
        <f t="shared" ca="1" si="86"/>
        <v>Net 30</v>
      </c>
      <c r="O502">
        <f t="shared" ca="1" si="87"/>
        <v>30</v>
      </c>
      <c r="P502" s="1">
        <f t="shared" ca="1" si="88"/>
        <v>44869</v>
      </c>
      <c r="Q502" s="1">
        <f t="shared" ca="1" si="89"/>
        <v>44883</v>
      </c>
      <c r="R502">
        <f t="shared" ca="1" si="90"/>
        <v>44</v>
      </c>
      <c r="S502" t="str">
        <f t="shared" ca="1" si="91"/>
        <v>Late</v>
      </c>
      <c r="T502" t="str">
        <f t="shared" ca="1" si="92"/>
        <v>31-60</v>
      </c>
      <c r="U502">
        <f t="shared" ca="1" si="93"/>
        <v>14</v>
      </c>
      <c r="V502" t="str">
        <f t="shared" ca="1" si="94"/>
        <v>Inefficient</v>
      </c>
      <c r="W502">
        <f t="shared" si="95"/>
        <v>62095.040000000001</v>
      </c>
    </row>
    <row r="503" spans="1:23" x14ac:dyDescent="0.35">
      <c r="A503" t="s">
        <v>528</v>
      </c>
      <c r="B503" t="s">
        <v>20</v>
      </c>
      <c r="C503" s="1">
        <v>44744</v>
      </c>
      <c r="D503" s="1">
        <v>44748</v>
      </c>
      <c r="E503" t="s">
        <v>21</v>
      </c>
      <c r="F503" t="s">
        <v>18</v>
      </c>
      <c r="G503">
        <v>834</v>
      </c>
      <c r="H503">
        <v>65.02</v>
      </c>
      <c r="I503">
        <v>56.19</v>
      </c>
      <c r="K503">
        <f t="shared" si="84"/>
        <v>834</v>
      </c>
      <c r="L503" t="s">
        <v>15</v>
      </c>
      <c r="M503" s="1">
        <f t="shared" si="85"/>
        <v>44748</v>
      </c>
      <c r="N503" t="str">
        <f t="shared" ca="1" si="86"/>
        <v>Net 45</v>
      </c>
      <c r="O503">
        <f t="shared" ca="1" si="87"/>
        <v>45</v>
      </c>
      <c r="P503" s="1">
        <f t="shared" ca="1" si="88"/>
        <v>44793</v>
      </c>
      <c r="Q503" s="1">
        <f t="shared" ca="1" si="89"/>
        <v>44798</v>
      </c>
      <c r="R503">
        <f t="shared" ca="1" si="90"/>
        <v>50</v>
      </c>
      <c r="S503" t="str">
        <f t="shared" ca="1" si="91"/>
        <v>Late</v>
      </c>
      <c r="T503" t="str">
        <f t="shared" ca="1" si="92"/>
        <v>31-60</v>
      </c>
      <c r="U503">
        <f t="shared" ca="1" si="93"/>
        <v>5</v>
      </c>
      <c r="V503" t="str">
        <f t="shared" ca="1" si="94"/>
        <v>Inefficient</v>
      </c>
      <c r="W503">
        <f t="shared" si="95"/>
        <v>46862.46</v>
      </c>
    </row>
    <row r="504" spans="1:23" x14ac:dyDescent="0.35">
      <c r="A504" t="s">
        <v>529</v>
      </c>
      <c r="B504" t="s">
        <v>20</v>
      </c>
      <c r="C504" s="1">
        <v>45156</v>
      </c>
      <c r="D504" s="1">
        <v>45170</v>
      </c>
      <c r="E504" t="s">
        <v>24</v>
      </c>
      <c r="F504" t="s">
        <v>33</v>
      </c>
      <c r="G504">
        <v>1177</v>
      </c>
      <c r="H504">
        <v>37.369999999999997</v>
      </c>
      <c r="I504">
        <v>34.270000000000003</v>
      </c>
      <c r="J504">
        <v>60</v>
      </c>
      <c r="K504">
        <f t="shared" si="84"/>
        <v>1117</v>
      </c>
      <c r="L504" t="s">
        <v>15</v>
      </c>
      <c r="M504" s="1">
        <f t="shared" si="85"/>
        <v>45170</v>
      </c>
      <c r="N504" t="str">
        <f t="shared" ca="1" si="86"/>
        <v>Net 45</v>
      </c>
      <c r="O504">
        <f t="shared" ca="1" si="87"/>
        <v>45</v>
      </c>
      <c r="P504" s="1">
        <f t="shared" ca="1" si="88"/>
        <v>45215</v>
      </c>
      <c r="Q504" s="1">
        <f t="shared" ca="1" si="89"/>
        <v>45220</v>
      </c>
      <c r="R504">
        <f t="shared" ca="1" si="90"/>
        <v>50</v>
      </c>
      <c r="S504" t="str">
        <f t="shared" ca="1" si="91"/>
        <v>Late</v>
      </c>
      <c r="T504" t="str">
        <f t="shared" ca="1" si="92"/>
        <v>31-60</v>
      </c>
      <c r="U504">
        <f t="shared" ca="1" si="93"/>
        <v>5</v>
      </c>
      <c r="V504" t="str">
        <f t="shared" ca="1" si="94"/>
        <v>Inefficient</v>
      </c>
      <c r="W504">
        <f t="shared" si="95"/>
        <v>40335.79</v>
      </c>
    </row>
    <row r="505" spans="1:23" x14ac:dyDescent="0.35">
      <c r="A505" t="s">
        <v>530</v>
      </c>
      <c r="B505" t="s">
        <v>17</v>
      </c>
      <c r="C505" s="1">
        <v>44833</v>
      </c>
      <c r="D505" s="1">
        <v>44853</v>
      </c>
      <c r="E505" t="s">
        <v>21</v>
      </c>
      <c r="F505" t="s">
        <v>18</v>
      </c>
      <c r="G505">
        <v>1466</v>
      </c>
      <c r="H505">
        <v>68.819999999999993</v>
      </c>
      <c r="I505">
        <v>66.819999999999993</v>
      </c>
      <c r="J505">
        <v>211</v>
      </c>
      <c r="K505">
        <f t="shared" si="84"/>
        <v>1255</v>
      </c>
      <c r="L505" t="s">
        <v>15</v>
      </c>
      <c r="M505" s="1">
        <f t="shared" si="85"/>
        <v>44853</v>
      </c>
      <c r="N505" t="str">
        <f t="shared" ca="1" si="86"/>
        <v>Net 30</v>
      </c>
      <c r="O505">
        <f t="shared" ca="1" si="87"/>
        <v>30</v>
      </c>
      <c r="P505" s="1">
        <f t="shared" ca="1" si="88"/>
        <v>44883</v>
      </c>
      <c r="Q505" s="1">
        <f t="shared" ca="1" si="89"/>
        <v>44885</v>
      </c>
      <c r="R505">
        <f t="shared" ca="1" si="90"/>
        <v>32</v>
      </c>
      <c r="S505" t="str">
        <f t="shared" ca="1" si="91"/>
        <v>Late</v>
      </c>
      <c r="T505" t="str">
        <f t="shared" ca="1" si="92"/>
        <v>31-60</v>
      </c>
      <c r="U505">
        <f t="shared" ca="1" si="93"/>
        <v>2</v>
      </c>
      <c r="V505" t="str">
        <f t="shared" ca="1" si="94"/>
        <v>Inefficient</v>
      </c>
      <c r="W505">
        <f t="shared" si="95"/>
        <v>97958.12</v>
      </c>
    </row>
    <row r="506" spans="1:23" x14ac:dyDescent="0.35">
      <c r="A506" t="s">
        <v>531</v>
      </c>
      <c r="B506" t="s">
        <v>29</v>
      </c>
      <c r="C506" s="1">
        <v>44601</v>
      </c>
      <c r="D506" s="1">
        <v>44605</v>
      </c>
      <c r="E506" t="s">
        <v>39</v>
      </c>
      <c r="F506" t="s">
        <v>18</v>
      </c>
      <c r="G506">
        <v>1884</v>
      </c>
      <c r="H506">
        <v>47.08</v>
      </c>
      <c r="I506">
        <v>44.31</v>
      </c>
      <c r="J506">
        <v>54</v>
      </c>
      <c r="K506">
        <f t="shared" si="84"/>
        <v>1830</v>
      </c>
      <c r="L506" t="s">
        <v>15</v>
      </c>
      <c r="M506" s="1">
        <f t="shared" si="85"/>
        <v>44605</v>
      </c>
      <c r="N506" t="str">
        <f t="shared" ca="1" si="86"/>
        <v>Net 30</v>
      </c>
      <c r="O506">
        <f t="shared" ca="1" si="87"/>
        <v>30</v>
      </c>
      <c r="P506" s="1">
        <f t="shared" ca="1" si="88"/>
        <v>44635</v>
      </c>
      <c r="Q506" s="1">
        <f t="shared" ca="1" si="89"/>
        <v>44647</v>
      </c>
      <c r="R506">
        <f t="shared" ca="1" si="90"/>
        <v>42</v>
      </c>
      <c r="S506" t="str">
        <f t="shared" ca="1" si="91"/>
        <v>Late</v>
      </c>
      <c r="T506" t="str">
        <f t="shared" ca="1" si="92"/>
        <v>31-60</v>
      </c>
      <c r="U506">
        <f t="shared" ca="1" si="93"/>
        <v>12</v>
      </c>
      <c r="V506" t="str">
        <f t="shared" ca="1" si="94"/>
        <v>Inefficient</v>
      </c>
      <c r="W506">
        <f t="shared" si="95"/>
        <v>83480.040000000008</v>
      </c>
    </row>
    <row r="507" spans="1:23" x14ac:dyDescent="0.35">
      <c r="A507" t="s">
        <v>532</v>
      </c>
      <c r="B507" t="s">
        <v>23</v>
      </c>
      <c r="C507" s="1">
        <v>44673</v>
      </c>
      <c r="D507" s="1">
        <v>44689</v>
      </c>
      <c r="E507" t="s">
        <v>39</v>
      </c>
      <c r="F507" t="s">
        <v>18</v>
      </c>
      <c r="G507">
        <v>295</v>
      </c>
      <c r="H507">
        <v>60.58</v>
      </c>
      <c r="I507">
        <v>57.32</v>
      </c>
      <c r="J507">
        <v>31</v>
      </c>
      <c r="K507">
        <f t="shared" si="84"/>
        <v>264</v>
      </c>
      <c r="L507" t="s">
        <v>15</v>
      </c>
      <c r="M507" s="1">
        <f t="shared" si="85"/>
        <v>44689</v>
      </c>
      <c r="N507" t="str">
        <f t="shared" ca="1" si="86"/>
        <v>Net 30</v>
      </c>
      <c r="O507">
        <f t="shared" ca="1" si="87"/>
        <v>30</v>
      </c>
      <c r="P507" s="1">
        <f t="shared" ca="1" si="88"/>
        <v>44719</v>
      </c>
      <c r="Q507" s="1">
        <f t="shared" ca="1" si="89"/>
        <v>44735</v>
      </c>
      <c r="R507">
        <f t="shared" ca="1" si="90"/>
        <v>46</v>
      </c>
      <c r="S507" t="str">
        <f t="shared" ca="1" si="91"/>
        <v>Late</v>
      </c>
      <c r="T507" t="str">
        <f t="shared" ca="1" si="92"/>
        <v>31-60</v>
      </c>
      <c r="U507">
        <f t="shared" ca="1" si="93"/>
        <v>16</v>
      </c>
      <c r="V507" t="str">
        <f t="shared" ca="1" si="94"/>
        <v>Inefficient</v>
      </c>
      <c r="W507">
        <f t="shared" si="95"/>
        <v>16909.400000000001</v>
      </c>
    </row>
    <row r="508" spans="1:23" x14ac:dyDescent="0.35">
      <c r="A508" t="s">
        <v>533</v>
      </c>
      <c r="B508" t="s">
        <v>20</v>
      </c>
      <c r="C508" s="1">
        <v>45172</v>
      </c>
      <c r="D508" s="1">
        <v>45173</v>
      </c>
      <c r="E508" t="s">
        <v>26</v>
      </c>
      <c r="F508" t="s">
        <v>18</v>
      </c>
      <c r="G508">
        <v>1249</v>
      </c>
      <c r="H508">
        <v>54.18</v>
      </c>
      <c r="I508">
        <v>47.29</v>
      </c>
      <c r="J508">
        <v>59</v>
      </c>
      <c r="K508">
        <f t="shared" si="84"/>
        <v>1190</v>
      </c>
      <c r="L508" t="s">
        <v>15</v>
      </c>
      <c r="M508" s="1">
        <f t="shared" si="85"/>
        <v>45173</v>
      </c>
      <c r="N508" t="str">
        <f t="shared" ca="1" si="86"/>
        <v>Net 45</v>
      </c>
      <c r="O508">
        <f t="shared" ca="1" si="87"/>
        <v>45</v>
      </c>
      <c r="P508" s="1">
        <f t="shared" ca="1" si="88"/>
        <v>45218</v>
      </c>
      <c r="Q508" s="1">
        <f t="shared" ca="1" si="89"/>
        <v>45228</v>
      </c>
      <c r="R508">
        <f t="shared" ca="1" si="90"/>
        <v>55</v>
      </c>
      <c r="S508" t="str">
        <f t="shared" ca="1" si="91"/>
        <v>Late</v>
      </c>
      <c r="T508" t="str">
        <f t="shared" ca="1" si="92"/>
        <v>31-60</v>
      </c>
      <c r="U508">
        <f t="shared" ca="1" si="93"/>
        <v>10</v>
      </c>
      <c r="V508" t="str">
        <f t="shared" ca="1" si="94"/>
        <v>Inefficient</v>
      </c>
      <c r="W508">
        <f t="shared" si="95"/>
        <v>59065.21</v>
      </c>
    </row>
    <row r="509" spans="1:23" x14ac:dyDescent="0.35">
      <c r="A509" t="s">
        <v>534</v>
      </c>
      <c r="B509" t="s">
        <v>17</v>
      </c>
      <c r="C509" s="1">
        <v>45006</v>
      </c>
      <c r="D509" s="1">
        <v>45025</v>
      </c>
      <c r="E509" t="s">
        <v>26</v>
      </c>
      <c r="F509" t="s">
        <v>18</v>
      </c>
      <c r="G509">
        <v>1112</v>
      </c>
      <c r="H509">
        <v>39.06</v>
      </c>
      <c r="I509">
        <v>33.6</v>
      </c>
      <c r="J509">
        <v>184</v>
      </c>
      <c r="K509">
        <f t="shared" si="84"/>
        <v>928</v>
      </c>
      <c r="L509" t="s">
        <v>27</v>
      </c>
      <c r="M509" s="1">
        <f t="shared" si="85"/>
        <v>45025</v>
      </c>
      <c r="N509" t="str">
        <f t="shared" ca="1" si="86"/>
        <v>Net 45</v>
      </c>
      <c r="O509">
        <f t="shared" ca="1" si="87"/>
        <v>45</v>
      </c>
      <c r="P509" s="1">
        <f t="shared" ca="1" si="88"/>
        <v>45070</v>
      </c>
      <c r="Q509" s="1">
        <f t="shared" ca="1" si="89"/>
        <v>45085</v>
      </c>
      <c r="R509">
        <f t="shared" ca="1" si="90"/>
        <v>60</v>
      </c>
      <c r="S509" t="str">
        <f t="shared" ca="1" si="91"/>
        <v>Late</v>
      </c>
      <c r="T509" t="str">
        <f t="shared" ca="1" si="92"/>
        <v>31-60</v>
      </c>
      <c r="U509">
        <f t="shared" ca="1" si="93"/>
        <v>15</v>
      </c>
      <c r="V509" t="str">
        <f t="shared" ca="1" si="94"/>
        <v>Inefficient</v>
      </c>
      <c r="W509">
        <f t="shared" si="95"/>
        <v>37363.200000000004</v>
      </c>
    </row>
    <row r="510" spans="1:23" x14ac:dyDescent="0.35">
      <c r="A510" t="s">
        <v>535</v>
      </c>
      <c r="B510" t="s">
        <v>20</v>
      </c>
      <c r="C510" s="1">
        <v>44915</v>
      </c>
      <c r="D510" s="1">
        <v>44920</v>
      </c>
      <c r="E510" t="s">
        <v>13</v>
      </c>
      <c r="F510" t="s">
        <v>18</v>
      </c>
      <c r="G510">
        <v>1550</v>
      </c>
      <c r="H510">
        <v>100.61</v>
      </c>
      <c r="I510">
        <v>97.43</v>
      </c>
      <c r="J510">
        <v>66</v>
      </c>
      <c r="K510">
        <f t="shared" si="84"/>
        <v>1484</v>
      </c>
      <c r="L510" t="s">
        <v>15</v>
      </c>
      <c r="M510" s="1">
        <f t="shared" si="85"/>
        <v>44920</v>
      </c>
      <c r="N510" t="str">
        <f t="shared" ca="1" si="86"/>
        <v>Net 30</v>
      </c>
      <c r="O510">
        <f t="shared" ca="1" si="87"/>
        <v>30</v>
      </c>
      <c r="P510" s="1">
        <f t="shared" ca="1" si="88"/>
        <v>44950</v>
      </c>
      <c r="Q510" s="1">
        <f t="shared" ca="1" si="89"/>
        <v>44954</v>
      </c>
      <c r="R510">
        <f t="shared" ca="1" si="90"/>
        <v>34</v>
      </c>
      <c r="S510" t="str">
        <f t="shared" ca="1" si="91"/>
        <v>Late</v>
      </c>
      <c r="T510" t="str">
        <f t="shared" ca="1" si="92"/>
        <v>31-60</v>
      </c>
      <c r="U510">
        <f t="shared" ca="1" si="93"/>
        <v>4</v>
      </c>
      <c r="V510" t="str">
        <f t="shared" ca="1" si="94"/>
        <v>Inefficient</v>
      </c>
      <c r="W510">
        <f t="shared" si="95"/>
        <v>151016.5</v>
      </c>
    </row>
    <row r="511" spans="1:23" x14ac:dyDescent="0.35">
      <c r="A511" t="s">
        <v>536</v>
      </c>
      <c r="B511" t="s">
        <v>17</v>
      </c>
      <c r="C511" s="1">
        <v>44883</v>
      </c>
      <c r="D511" s="1">
        <v>44884</v>
      </c>
      <c r="E511" t="s">
        <v>39</v>
      </c>
      <c r="F511" t="s">
        <v>18</v>
      </c>
      <c r="G511">
        <v>1755</v>
      </c>
      <c r="H511">
        <v>82.66</v>
      </c>
      <c r="I511">
        <v>73.67</v>
      </c>
      <c r="J511">
        <v>258</v>
      </c>
      <c r="K511">
        <f t="shared" si="84"/>
        <v>1497</v>
      </c>
      <c r="L511" t="s">
        <v>27</v>
      </c>
      <c r="M511" s="1">
        <f t="shared" si="85"/>
        <v>44884</v>
      </c>
      <c r="N511" t="str">
        <f t="shared" ca="1" si="86"/>
        <v>Net 30</v>
      </c>
      <c r="O511">
        <f t="shared" ca="1" si="87"/>
        <v>30</v>
      </c>
      <c r="P511" s="1">
        <f t="shared" ca="1" si="88"/>
        <v>44914</v>
      </c>
      <c r="Q511" s="1">
        <f t="shared" ca="1" si="89"/>
        <v>44913</v>
      </c>
      <c r="R511">
        <f t="shared" ca="1" si="90"/>
        <v>29</v>
      </c>
      <c r="S511" t="str">
        <f t="shared" ca="1" si="91"/>
        <v>On Time</v>
      </c>
      <c r="T511" t="str">
        <f t="shared" ca="1" si="92"/>
        <v>0-30</v>
      </c>
      <c r="U511">
        <f t="shared" ca="1" si="93"/>
        <v>0</v>
      </c>
      <c r="V511" t="str">
        <f t="shared" ca="1" si="94"/>
        <v>Efficient</v>
      </c>
      <c r="W511">
        <f t="shared" si="95"/>
        <v>129290.85</v>
      </c>
    </row>
    <row r="512" spans="1:23" x14ac:dyDescent="0.35">
      <c r="A512" t="s">
        <v>537</v>
      </c>
      <c r="B512" t="s">
        <v>20</v>
      </c>
      <c r="C512" s="1">
        <v>45008</v>
      </c>
      <c r="D512" s="1">
        <v>45016</v>
      </c>
      <c r="E512" t="s">
        <v>26</v>
      </c>
      <c r="F512" t="s">
        <v>18</v>
      </c>
      <c r="G512">
        <v>808</v>
      </c>
      <c r="H512">
        <v>24.19</v>
      </c>
      <c r="I512">
        <v>21.64</v>
      </c>
      <c r="J512">
        <v>39</v>
      </c>
      <c r="K512">
        <f t="shared" si="84"/>
        <v>769</v>
      </c>
      <c r="L512" t="s">
        <v>15</v>
      </c>
      <c r="M512" s="1">
        <f t="shared" si="85"/>
        <v>45016</v>
      </c>
      <c r="N512" t="str">
        <f t="shared" ca="1" si="86"/>
        <v>Net 30</v>
      </c>
      <c r="O512">
        <f t="shared" ca="1" si="87"/>
        <v>30</v>
      </c>
      <c r="P512" s="1">
        <f t="shared" ca="1" si="88"/>
        <v>45046</v>
      </c>
      <c r="Q512" s="1">
        <f t="shared" ca="1" si="89"/>
        <v>45062</v>
      </c>
      <c r="R512">
        <f t="shared" ca="1" si="90"/>
        <v>46</v>
      </c>
      <c r="S512" t="str">
        <f t="shared" ca="1" si="91"/>
        <v>Late</v>
      </c>
      <c r="T512" t="str">
        <f t="shared" ca="1" si="92"/>
        <v>31-60</v>
      </c>
      <c r="U512">
        <f t="shared" ca="1" si="93"/>
        <v>16</v>
      </c>
      <c r="V512" t="str">
        <f t="shared" ca="1" si="94"/>
        <v>Inefficient</v>
      </c>
      <c r="W512">
        <f t="shared" si="95"/>
        <v>17485.12</v>
      </c>
    </row>
    <row r="513" spans="1:23" x14ac:dyDescent="0.35">
      <c r="A513" t="s">
        <v>538</v>
      </c>
      <c r="B513" t="s">
        <v>12</v>
      </c>
      <c r="C513" s="1">
        <v>45182</v>
      </c>
      <c r="D513" s="1">
        <v>45188</v>
      </c>
      <c r="E513" t="s">
        <v>26</v>
      </c>
      <c r="F513" t="s">
        <v>33</v>
      </c>
      <c r="G513">
        <v>587</v>
      </c>
      <c r="H513">
        <v>96.98</v>
      </c>
      <c r="I513">
        <v>95.35</v>
      </c>
      <c r="J513">
        <v>14</v>
      </c>
      <c r="K513">
        <f t="shared" si="84"/>
        <v>573</v>
      </c>
      <c r="L513" t="s">
        <v>15</v>
      </c>
      <c r="M513" s="1">
        <f t="shared" si="85"/>
        <v>45188</v>
      </c>
      <c r="N513" t="str">
        <f t="shared" ca="1" si="86"/>
        <v>Net 30</v>
      </c>
      <c r="O513">
        <f t="shared" ca="1" si="87"/>
        <v>30</v>
      </c>
      <c r="P513" s="1">
        <f t="shared" ca="1" si="88"/>
        <v>45218</v>
      </c>
      <c r="Q513" s="1">
        <f t="shared" ca="1" si="89"/>
        <v>45235</v>
      </c>
      <c r="R513">
        <f t="shared" ca="1" si="90"/>
        <v>47</v>
      </c>
      <c r="S513" t="str">
        <f t="shared" ca="1" si="91"/>
        <v>Late</v>
      </c>
      <c r="T513" t="str">
        <f t="shared" ca="1" si="92"/>
        <v>31-60</v>
      </c>
      <c r="U513">
        <f t="shared" ca="1" si="93"/>
        <v>17</v>
      </c>
      <c r="V513" t="str">
        <f t="shared" ca="1" si="94"/>
        <v>Inefficient</v>
      </c>
      <c r="W513">
        <f t="shared" si="95"/>
        <v>55970.45</v>
      </c>
    </row>
    <row r="514" spans="1:23" x14ac:dyDescent="0.35">
      <c r="A514" t="s">
        <v>539</v>
      </c>
      <c r="B514" t="s">
        <v>29</v>
      </c>
      <c r="C514" s="1">
        <v>45085</v>
      </c>
      <c r="D514" s="1">
        <v>45088</v>
      </c>
      <c r="E514" t="s">
        <v>21</v>
      </c>
      <c r="F514" t="s">
        <v>18</v>
      </c>
      <c r="G514">
        <v>1940</v>
      </c>
      <c r="H514">
        <v>58.45</v>
      </c>
      <c r="I514">
        <v>50.29</v>
      </c>
      <c r="J514">
        <v>54</v>
      </c>
      <c r="K514">
        <f t="shared" si="84"/>
        <v>1886</v>
      </c>
      <c r="L514" t="s">
        <v>15</v>
      </c>
      <c r="M514" s="1">
        <f t="shared" si="85"/>
        <v>45088</v>
      </c>
      <c r="N514" t="str">
        <f t="shared" ca="1" si="86"/>
        <v>Net 45</v>
      </c>
      <c r="O514">
        <f t="shared" ca="1" si="87"/>
        <v>45</v>
      </c>
      <c r="P514" s="1">
        <f t="shared" ca="1" si="88"/>
        <v>45133</v>
      </c>
      <c r="Q514" s="1">
        <f t="shared" ca="1" si="89"/>
        <v>45148</v>
      </c>
      <c r="R514">
        <f t="shared" ca="1" si="90"/>
        <v>60</v>
      </c>
      <c r="S514" t="str">
        <f t="shared" ca="1" si="91"/>
        <v>Late</v>
      </c>
      <c r="T514" t="str">
        <f t="shared" ca="1" si="92"/>
        <v>31-60</v>
      </c>
      <c r="U514">
        <f t="shared" ca="1" si="93"/>
        <v>15</v>
      </c>
      <c r="V514" t="str">
        <f t="shared" ca="1" si="94"/>
        <v>Inefficient</v>
      </c>
      <c r="W514">
        <f t="shared" si="95"/>
        <v>97562.599999999991</v>
      </c>
    </row>
    <row r="515" spans="1:23" x14ac:dyDescent="0.35">
      <c r="A515" t="s">
        <v>540</v>
      </c>
      <c r="B515" t="s">
        <v>23</v>
      </c>
      <c r="C515" s="1">
        <v>44680</v>
      </c>
      <c r="D515" s="1">
        <v>44692</v>
      </c>
      <c r="E515" t="s">
        <v>13</v>
      </c>
      <c r="F515" t="s">
        <v>14</v>
      </c>
      <c r="G515">
        <v>1891</v>
      </c>
      <c r="H515">
        <v>91.87</v>
      </c>
      <c r="I515">
        <v>80.28</v>
      </c>
      <c r="J515">
        <v>158</v>
      </c>
      <c r="K515">
        <f t="shared" ref="K515:K578" si="96">G515-J515</f>
        <v>1733</v>
      </c>
      <c r="L515" t="s">
        <v>15</v>
      </c>
      <c r="M515" s="1">
        <f t="shared" ref="M515:M578" si="97">D515</f>
        <v>44692</v>
      </c>
      <c r="N515" t="str">
        <f t="shared" ref="N515:N578" ca="1" si="98">CHOOSE(RANDBETWEEN(1,3),"Net 15","Net 30","Net 45")</f>
        <v>Net 30</v>
      </c>
      <c r="O515">
        <f t="shared" ref="O515:O578" ca="1" si="99">VALUE(RIGHT(N515,2))</f>
        <v>30</v>
      </c>
      <c r="P515" s="1">
        <f t="shared" ref="P515:P578" ca="1" si="100">(M515+O515)</f>
        <v>44722</v>
      </c>
      <c r="Q515" s="1">
        <f t="shared" ref="Q515:Q578" ca="1" si="101">P515 + RANDBETWEEN(-5,20)</f>
        <v>44725</v>
      </c>
      <c r="R515">
        <f t="shared" ref="R515:R578" ca="1" si="102">Q515-M515</f>
        <v>33</v>
      </c>
      <c r="S515" t="str">
        <f t="shared" ref="S515:S578" ca="1" si="103">IF(Q515&lt;=P515,"On Time","Late")</f>
        <v>Late</v>
      </c>
      <c r="T515" t="str">
        <f t="shared" ref="T515:T578" ca="1" si="104">IF(R515&lt;=30,"0-30",
IF(R515&lt;=60,"31-60",
IF(R515&lt;=90,"61-90","90+")))</f>
        <v>31-60</v>
      </c>
      <c r="U515">
        <f t="shared" ref="U515:U578" ca="1" si="105">MAX(0,Q515-P515)</f>
        <v>3</v>
      </c>
      <c r="V515" t="str">
        <f t="shared" ref="V515:V578" ca="1" si="106">IF(U515=0,"Efficient","Inefficient")</f>
        <v>Inefficient</v>
      </c>
      <c r="W515">
        <f t="shared" ref="W515:W578" si="107">G515*I515</f>
        <v>151809.48000000001</v>
      </c>
    </row>
    <row r="516" spans="1:23" x14ac:dyDescent="0.35">
      <c r="A516" t="s">
        <v>541</v>
      </c>
      <c r="B516" t="s">
        <v>29</v>
      </c>
      <c r="C516" s="1">
        <v>44956</v>
      </c>
      <c r="D516" s="1">
        <v>44973</v>
      </c>
      <c r="E516" t="s">
        <v>24</v>
      </c>
      <c r="F516" t="s">
        <v>18</v>
      </c>
      <c r="G516">
        <v>970</v>
      </c>
      <c r="H516">
        <v>86.91</v>
      </c>
      <c r="I516">
        <v>78.44</v>
      </c>
      <c r="J516">
        <v>18</v>
      </c>
      <c r="K516">
        <f t="shared" si="96"/>
        <v>952</v>
      </c>
      <c r="L516" t="s">
        <v>15</v>
      </c>
      <c r="M516" s="1">
        <f t="shared" si="97"/>
        <v>44973</v>
      </c>
      <c r="N516" t="str">
        <f t="shared" ca="1" si="98"/>
        <v>Net 15</v>
      </c>
      <c r="O516">
        <f t="shared" ca="1" si="99"/>
        <v>15</v>
      </c>
      <c r="P516" s="1">
        <f t="shared" ca="1" si="100"/>
        <v>44988</v>
      </c>
      <c r="Q516" s="1">
        <f t="shared" ca="1" si="101"/>
        <v>44994</v>
      </c>
      <c r="R516">
        <f t="shared" ca="1" si="102"/>
        <v>21</v>
      </c>
      <c r="S516" t="str">
        <f t="shared" ca="1" si="103"/>
        <v>Late</v>
      </c>
      <c r="T516" t="str">
        <f t="shared" ca="1" si="104"/>
        <v>0-30</v>
      </c>
      <c r="U516">
        <f t="shared" ca="1" si="105"/>
        <v>6</v>
      </c>
      <c r="V516" t="str">
        <f t="shared" ca="1" si="106"/>
        <v>Inefficient</v>
      </c>
      <c r="W516">
        <f t="shared" si="107"/>
        <v>76086.8</v>
      </c>
    </row>
    <row r="517" spans="1:23" x14ac:dyDescent="0.35">
      <c r="A517" t="s">
        <v>542</v>
      </c>
      <c r="B517" t="s">
        <v>29</v>
      </c>
      <c r="C517" s="1">
        <v>45152</v>
      </c>
      <c r="D517" s="1">
        <v>45169</v>
      </c>
      <c r="E517" t="s">
        <v>21</v>
      </c>
      <c r="F517" t="s">
        <v>18</v>
      </c>
      <c r="G517">
        <v>457</v>
      </c>
      <c r="H517">
        <v>52.85</v>
      </c>
      <c r="I517">
        <v>50.34</v>
      </c>
      <c r="J517">
        <v>16</v>
      </c>
      <c r="K517">
        <f t="shared" si="96"/>
        <v>441</v>
      </c>
      <c r="L517" t="s">
        <v>15</v>
      </c>
      <c r="M517" s="1">
        <f t="shared" si="97"/>
        <v>45169</v>
      </c>
      <c r="N517" t="str">
        <f t="shared" ca="1" si="98"/>
        <v>Net 30</v>
      </c>
      <c r="O517">
        <f t="shared" ca="1" si="99"/>
        <v>30</v>
      </c>
      <c r="P517" s="1">
        <f t="shared" ca="1" si="100"/>
        <v>45199</v>
      </c>
      <c r="Q517" s="1">
        <f t="shared" ca="1" si="101"/>
        <v>45206</v>
      </c>
      <c r="R517">
        <f t="shared" ca="1" si="102"/>
        <v>37</v>
      </c>
      <c r="S517" t="str">
        <f t="shared" ca="1" si="103"/>
        <v>Late</v>
      </c>
      <c r="T517" t="str">
        <f t="shared" ca="1" si="104"/>
        <v>31-60</v>
      </c>
      <c r="U517">
        <f t="shared" ca="1" si="105"/>
        <v>7</v>
      </c>
      <c r="V517" t="str">
        <f t="shared" ca="1" si="106"/>
        <v>Inefficient</v>
      </c>
      <c r="W517">
        <f t="shared" si="107"/>
        <v>23005.38</v>
      </c>
    </row>
    <row r="518" spans="1:23" x14ac:dyDescent="0.35">
      <c r="A518" t="s">
        <v>543</v>
      </c>
      <c r="B518" t="s">
        <v>23</v>
      </c>
      <c r="C518" s="1">
        <v>44756</v>
      </c>
      <c r="D518" s="1">
        <v>44769</v>
      </c>
      <c r="E518" t="s">
        <v>13</v>
      </c>
      <c r="F518" t="s">
        <v>14</v>
      </c>
      <c r="G518">
        <v>574</v>
      </c>
      <c r="H518">
        <v>12.38</v>
      </c>
      <c r="I518">
        <v>11.47</v>
      </c>
      <c r="K518">
        <f t="shared" si="96"/>
        <v>574</v>
      </c>
      <c r="L518" t="s">
        <v>27</v>
      </c>
      <c r="M518" s="1">
        <f t="shared" si="97"/>
        <v>44769</v>
      </c>
      <c r="N518" t="str">
        <f t="shared" ca="1" si="98"/>
        <v>Net 15</v>
      </c>
      <c r="O518">
        <f t="shared" ca="1" si="99"/>
        <v>15</v>
      </c>
      <c r="P518" s="1">
        <f t="shared" ca="1" si="100"/>
        <v>44784</v>
      </c>
      <c r="Q518" s="1">
        <f t="shared" ca="1" si="101"/>
        <v>44793</v>
      </c>
      <c r="R518">
        <f t="shared" ca="1" si="102"/>
        <v>24</v>
      </c>
      <c r="S518" t="str">
        <f t="shared" ca="1" si="103"/>
        <v>Late</v>
      </c>
      <c r="T518" t="str">
        <f t="shared" ca="1" si="104"/>
        <v>0-30</v>
      </c>
      <c r="U518">
        <f t="shared" ca="1" si="105"/>
        <v>9</v>
      </c>
      <c r="V518" t="str">
        <f t="shared" ca="1" si="106"/>
        <v>Inefficient</v>
      </c>
      <c r="W518">
        <f t="shared" si="107"/>
        <v>6583.7800000000007</v>
      </c>
    </row>
    <row r="519" spans="1:23" x14ac:dyDescent="0.35">
      <c r="A519" t="s">
        <v>544</v>
      </c>
      <c r="B519" t="s">
        <v>29</v>
      </c>
      <c r="C519" s="1">
        <v>44822</v>
      </c>
      <c r="D519" s="1">
        <v>44824</v>
      </c>
      <c r="E519" t="s">
        <v>13</v>
      </c>
      <c r="F519" t="s">
        <v>18</v>
      </c>
      <c r="G519">
        <v>877</v>
      </c>
      <c r="H519">
        <v>35.549999999999997</v>
      </c>
      <c r="I519">
        <v>34.69</v>
      </c>
      <c r="J519">
        <v>24</v>
      </c>
      <c r="K519">
        <f t="shared" si="96"/>
        <v>853</v>
      </c>
      <c r="L519" t="s">
        <v>15</v>
      </c>
      <c r="M519" s="1">
        <f t="shared" si="97"/>
        <v>44824</v>
      </c>
      <c r="N519" t="str">
        <f t="shared" ca="1" si="98"/>
        <v>Net 45</v>
      </c>
      <c r="O519">
        <f t="shared" ca="1" si="99"/>
        <v>45</v>
      </c>
      <c r="P519" s="1">
        <f t="shared" ca="1" si="100"/>
        <v>44869</v>
      </c>
      <c r="Q519" s="1">
        <f t="shared" ca="1" si="101"/>
        <v>44872</v>
      </c>
      <c r="R519">
        <f t="shared" ca="1" si="102"/>
        <v>48</v>
      </c>
      <c r="S519" t="str">
        <f t="shared" ca="1" si="103"/>
        <v>Late</v>
      </c>
      <c r="T519" t="str">
        <f t="shared" ca="1" si="104"/>
        <v>31-60</v>
      </c>
      <c r="U519">
        <f t="shared" ca="1" si="105"/>
        <v>3</v>
      </c>
      <c r="V519" t="str">
        <f t="shared" ca="1" si="106"/>
        <v>Inefficient</v>
      </c>
      <c r="W519">
        <f t="shared" si="107"/>
        <v>30423.129999999997</v>
      </c>
    </row>
    <row r="520" spans="1:23" x14ac:dyDescent="0.35">
      <c r="A520" t="s">
        <v>545</v>
      </c>
      <c r="B520" t="s">
        <v>12</v>
      </c>
      <c r="C520" s="1">
        <v>44607</v>
      </c>
      <c r="D520" s="1">
        <v>44619</v>
      </c>
      <c r="E520" t="s">
        <v>21</v>
      </c>
      <c r="F520" t="s">
        <v>18</v>
      </c>
      <c r="G520">
        <v>1579</v>
      </c>
      <c r="H520">
        <v>59.04</v>
      </c>
      <c r="I520">
        <v>50.95</v>
      </c>
      <c r="J520">
        <v>29</v>
      </c>
      <c r="K520">
        <f t="shared" si="96"/>
        <v>1550</v>
      </c>
      <c r="L520" t="s">
        <v>15</v>
      </c>
      <c r="M520" s="1">
        <f t="shared" si="97"/>
        <v>44619</v>
      </c>
      <c r="N520" t="str">
        <f t="shared" ca="1" si="98"/>
        <v>Net 15</v>
      </c>
      <c r="O520">
        <f t="shared" ca="1" si="99"/>
        <v>15</v>
      </c>
      <c r="P520" s="1">
        <f t="shared" ca="1" si="100"/>
        <v>44634</v>
      </c>
      <c r="Q520" s="1">
        <f t="shared" ca="1" si="101"/>
        <v>44654</v>
      </c>
      <c r="R520">
        <f t="shared" ca="1" si="102"/>
        <v>35</v>
      </c>
      <c r="S520" t="str">
        <f t="shared" ca="1" si="103"/>
        <v>Late</v>
      </c>
      <c r="T520" t="str">
        <f t="shared" ca="1" si="104"/>
        <v>31-60</v>
      </c>
      <c r="U520">
        <f t="shared" ca="1" si="105"/>
        <v>20</v>
      </c>
      <c r="V520" t="str">
        <f t="shared" ca="1" si="106"/>
        <v>Inefficient</v>
      </c>
      <c r="W520">
        <f t="shared" si="107"/>
        <v>80450.05</v>
      </c>
    </row>
    <row r="521" spans="1:23" x14ac:dyDescent="0.35">
      <c r="A521" t="s">
        <v>546</v>
      </c>
      <c r="B521" t="s">
        <v>17</v>
      </c>
      <c r="C521" s="1">
        <v>45287</v>
      </c>
      <c r="D521" s="1">
        <v>45288</v>
      </c>
      <c r="E521" t="s">
        <v>26</v>
      </c>
      <c r="F521" t="s">
        <v>18</v>
      </c>
      <c r="G521">
        <v>952</v>
      </c>
      <c r="H521">
        <v>74.72</v>
      </c>
      <c r="I521">
        <v>69.73</v>
      </c>
      <c r="K521">
        <f t="shared" si="96"/>
        <v>952</v>
      </c>
      <c r="L521" t="s">
        <v>15</v>
      </c>
      <c r="M521" s="1">
        <f t="shared" si="97"/>
        <v>45288</v>
      </c>
      <c r="N521" t="str">
        <f t="shared" ca="1" si="98"/>
        <v>Net 15</v>
      </c>
      <c r="O521">
        <f t="shared" ca="1" si="99"/>
        <v>15</v>
      </c>
      <c r="P521" s="1">
        <f t="shared" ca="1" si="100"/>
        <v>45303</v>
      </c>
      <c r="Q521" s="1">
        <f t="shared" ca="1" si="101"/>
        <v>45321</v>
      </c>
      <c r="R521">
        <f t="shared" ca="1" si="102"/>
        <v>33</v>
      </c>
      <c r="S521" t="str">
        <f t="shared" ca="1" si="103"/>
        <v>Late</v>
      </c>
      <c r="T521" t="str">
        <f t="shared" ca="1" si="104"/>
        <v>31-60</v>
      </c>
      <c r="U521">
        <f t="shared" ca="1" si="105"/>
        <v>18</v>
      </c>
      <c r="V521" t="str">
        <f t="shared" ca="1" si="106"/>
        <v>Inefficient</v>
      </c>
      <c r="W521">
        <f t="shared" si="107"/>
        <v>66382.960000000006</v>
      </c>
    </row>
    <row r="522" spans="1:23" x14ac:dyDescent="0.35">
      <c r="A522" t="s">
        <v>547</v>
      </c>
      <c r="B522" t="s">
        <v>23</v>
      </c>
      <c r="C522" s="1">
        <v>45008</v>
      </c>
      <c r="D522" s="1">
        <v>45011</v>
      </c>
      <c r="E522" t="s">
        <v>26</v>
      </c>
      <c r="F522" t="s">
        <v>35</v>
      </c>
      <c r="G522">
        <v>1898</v>
      </c>
      <c r="H522">
        <v>35.53</v>
      </c>
      <c r="I522">
        <v>33.25</v>
      </c>
      <c r="J522">
        <v>187</v>
      </c>
      <c r="K522">
        <f t="shared" si="96"/>
        <v>1711</v>
      </c>
      <c r="L522" t="s">
        <v>15</v>
      </c>
      <c r="M522" s="1">
        <f t="shared" si="97"/>
        <v>45011</v>
      </c>
      <c r="N522" t="str">
        <f t="shared" ca="1" si="98"/>
        <v>Net 15</v>
      </c>
      <c r="O522">
        <f t="shared" ca="1" si="99"/>
        <v>15</v>
      </c>
      <c r="P522" s="1">
        <f t="shared" ca="1" si="100"/>
        <v>45026</v>
      </c>
      <c r="Q522" s="1">
        <f t="shared" ca="1" si="101"/>
        <v>45035</v>
      </c>
      <c r="R522">
        <f t="shared" ca="1" si="102"/>
        <v>24</v>
      </c>
      <c r="S522" t="str">
        <f t="shared" ca="1" si="103"/>
        <v>Late</v>
      </c>
      <c r="T522" t="str">
        <f t="shared" ca="1" si="104"/>
        <v>0-30</v>
      </c>
      <c r="U522">
        <f t="shared" ca="1" si="105"/>
        <v>9</v>
      </c>
      <c r="V522" t="str">
        <f t="shared" ca="1" si="106"/>
        <v>Inefficient</v>
      </c>
      <c r="W522">
        <f t="shared" si="107"/>
        <v>63108.5</v>
      </c>
    </row>
    <row r="523" spans="1:23" x14ac:dyDescent="0.35">
      <c r="A523" t="s">
        <v>548</v>
      </c>
      <c r="B523" t="s">
        <v>17</v>
      </c>
      <c r="C523" s="1">
        <v>44563</v>
      </c>
      <c r="D523" s="1">
        <v>44567</v>
      </c>
      <c r="E523" t="s">
        <v>24</v>
      </c>
      <c r="F523" t="s">
        <v>18</v>
      </c>
      <c r="G523">
        <v>85</v>
      </c>
      <c r="H523">
        <v>22.54</v>
      </c>
      <c r="I523">
        <v>20.68</v>
      </c>
      <c r="J523">
        <v>6</v>
      </c>
      <c r="K523">
        <f t="shared" si="96"/>
        <v>79</v>
      </c>
      <c r="L523" t="s">
        <v>15</v>
      </c>
      <c r="M523" s="1">
        <f t="shared" si="97"/>
        <v>44567</v>
      </c>
      <c r="N523" t="str">
        <f t="shared" ca="1" si="98"/>
        <v>Net 15</v>
      </c>
      <c r="O523">
        <f t="shared" ca="1" si="99"/>
        <v>15</v>
      </c>
      <c r="P523" s="1">
        <f t="shared" ca="1" si="100"/>
        <v>44582</v>
      </c>
      <c r="Q523" s="1">
        <f t="shared" ca="1" si="101"/>
        <v>44580</v>
      </c>
      <c r="R523">
        <f t="shared" ca="1" si="102"/>
        <v>13</v>
      </c>
      <c r="S523" t="str">
        <f t="shared" ca="1" si="103"/>
        <v>On Time</v>
      </c>
      <c r="T523" t="str">
        <f t="shared" ca="1" si="104"/>
        <v>0-30</v>
      </c>
      <c r="U523">
        <f t="shared" ca="1" si="105"/>
        <v>0</v>
      </c>
      <c r="V523" t="str">
        <f t="shared" ca="1" si="106"/>
        <v>Efficient</v>
      </c>
      <c r="W523">
        <f t="shared" si="107"/>
        <v>1757.8</v>
      </c>
    </row>
    <row r="524" spans="1:23" x14ac:dyDescent="0.35">
      <c r="A524" t="s">
        <v>549</v>
      </c>
      <c r="B524" t="s">
        <v>20</v>
      </c>
      <c r="C524" s="1">
        <v>45094</v>
      </c>
      <c r="D524" s="1">
        <v>45105</v>
      </c>
      <c r="E524" t="s">
        <v>24</v>
      </c>
      <c r="F524" t="s">
        <v>35</v>
      </c>
      <c r="G524">
        <v>734</v>
      </c>
      <c r="H524">
        <v>92.38</v>
      </c>
      <c r="I524">
        <v>78.92</v>
      </c>
      <c r="J524">
        <v>34</v>
      </c>
      <c r="K524">
        <f t="shared" si="96"/>
        <v>700</v>
      </c>
      <c r="L524" t="s">
        <v>27</v>
      </c>
      <c r="M524" s="1">
        <f t="shared" si="97"/>
        <v>45105</v>
      </c>
      <c r="N524" t="str">
        <f t="shared" ca="1" si="98"/>
        <v>Net 30</v>
      </c>
      <c r="O524">
        <f t="shared" ca="1" si="99"/>
        <v>30</v>
      </c>
      <c r="P524" s="1">
        <f t="shared" ca="1" si="100"/>
        <v>45135</v>
      </c>
      <c r="Q524" s="1">
        <f t="shared" ca="1" si="101"/>
        <v>45150</v>
      </c>
      <c r="R524">
        <f t="shared" ca="1" si="102"/>
        <v>45</v>
      </c>
      <c r="S524" t="str">
        <f t="shared" ca="1" si="103"/>
        <v>Late</v>
      </c>
      <c r="T524" t="str">
        <f t="shared" ca="1" si="104"/>
        <v>31-60</v>
      </c>
      <c r="U524">
        <f t="shared" ca="1" si="105"/>
        <v>15</v>
      </c>
      <c r="V524" t="str">
        <f t="shared" ca="1" si="106"/>
        <v>Inefficient</v>
      </c>
      <c r="W524">
        <f t="shared" si="107"/>
        <v>57927.28</v>
      </c>
    </row>
    <row r="525" spans="1:23" x14ac:dyDescent="0.35">
      <c r="A525" t="s">
        <v>550</v>
      </c>
      <c r="B525" t="s">
        <v>12</v>
      </c>
      <c r="C525" s="1">
        <v>45113</v>
      </c>
      <c r="D525" s="1">
        <v>45125</v>
      </c>
      <c r="E525" t="s">
        <v>13</v>
      </c>
      <c r="F525" t="s">
        <v>18</v>
      </c>
      <c r="G525">
        <v>69</v>
      </c>
      <c r="H525">
        <v>107.47</v>
      </c>
      <c r="I525">
        <v>105.53</v>
      </c>
      <c r="K525">
        <f t="shared" si="96"/>
        <v>69</v>
      </c>
      <c r="L525" t="s">
        <v>15</v>
      </c>
      <c r="M525" s="1">
        <f t="shared" si="97"/>
        <v>45125</v>
      </c>
      <c r="N525" t="str">
        <f t="shared" ca="1" si="98"/>
        <v>Net 45</v>
      </c>
      <c r="O525">
        <f t="shared" ca="1" si="99"/>
        <v>45</v>
      </c>
      <c r="P525" s="1">
        <f t="shared" ca="1" si="100"/>
        <v>45170</v>
      </c>
      <c r="Q525" s="1">
        <f t="shared" ca="1" si="101"/>
        <v>45184</v>
      </c>
      <c r="R525">
        <f t="shared" ca="1" si="102"/>
        <v>59</v>
      </c>
      <c r="S525" t="str">
        <f t="shared" ca="1" si="103"/>
        <v>Late</v>
      </c>
      <c r="T525" t="str">
        <f t="shared" ca="1" si="104"/>
        <v>31-60</v>
      </c>
      <c r="U525">
        <f t="shared" ca="1" si="105"/>
        <v>14</v>
      </c>
      <c r="V525" t="str">
        <f t="shared" ca="1" si="106"/>
        <v>Inefficient</v>
      </c>
      <c r="W525">
        <f t="shared" si="107"/>
        <v>7281.57</v>
      </c>
    </row>
    <row r="526" spans="1:23" x14ac:dyDescent="0.35">
      <c r="A526" t="s">
        <v>551</v>
      </c>
      <c r="B526" t="s">
        <v>17</v>
      </c>
      <c r="C526" s="1">
        <v>45265</v>
      </c>
      <c r="D526" s="1">
        <v>45271</v>
      </c>
      <c r="E526" t="s">
        <v>24</v>
      </c>
      <c r="F526" t="s">
        <v>18</v>
      </c>
      <c r="G526">
        <v>370</v>
      </c>
      <c r="H526">
        <v>63.9</v>
      </c>
      <c r="I526">
        <v>55.79</v>
      </c>
      <c r="J526">
        <v>59</v>
      </c>
      <c r="K526">
        <f t="shared" si="96"/>
        <v>311</v>
      </c>
      <c r="L526" t="s">
        <v>15</v>
      </c>
      <c r="M526" s="1">
        <f t="shared" si="97"/>
        <v>45271</v>
      </c>
      <c r="N526" t="str">
        <f t="shared" ca="1" si="98"/>
        <v>Net 15</v>
      </c>
      <c r="O526">
        <f t="shared" ca="1" si="99"/>
        <v>15</v>
      </c>
      <c r="P526" s="1">
        <f t="shared" ca="1" si="100"/>
        <v>45286</v>
      </c>
      <c r="Q526" s="1">
        <f t="shared" ca="1" si="101"/>
        <v>45304</v>
      </c>
      <c r="R526">
        <f t="shared" ca="1" si="102"/>
        <v>33</v>
      </c>
      <c r="S526" t="str">
        <f t="shared" ca="1" si="103"/>
        <v>Late</v>
      </c>
      <c r="T526" t="str">
        <f t="shared" ca="1" si="104"/>
        <v>31-60</v>
      </c>
      <c r="U526">
        <f t="shared" ca="1" si="105"/>
        <v>18</v>
      </c>
      <c r="V526" t="str">
        <f t="shared" ca="1" si="106"/>
        <v>Inefficient</v>
      </c>
      <c r="W526">
        <f t="shared" si="107"/>
        <v>20642.3</v>
      </c>
    </row>
    <row r="527" spans="1:23" x14ac:dyDescent="0.35">
      <c r="A527" t="s">
        <v>552</v>
      </c>
      <c r="B527" t="s">
        <v>17</v>
      </c>
      <c r="C527" s="1">
        <v>45248</v>
      </c>
      <c r="D527" s="1">
        <v>45263</v>
      </c>
      <c r="E527" t="s">
        <v>21</v>
      </c>
      <c r="F527" t="s">
        <v>18</v>
      </c>
      <c r="G527">
        <v>1849</v>
      </c>
      <c r="H527">
        <v>28.25</v>
      </c>
      <c r="I527">
        <v>27.53</v>
      </c>
      <c r="J527">
        <v>271</v>
      </c>
      <c r="K527">
        <f t="shared" si="96"/>
        <v>1578</v>
      </c>
      <c r="L527" t="s">
        <v>15</v>
      </c>
      <c r="M527" s="1">
        <f t="shared" si="97"/>
        <v>45263</v>
      </c>
      <c r="N527" t="str">
        <f t="shared" ca="1" si="98"/>
        <v>Net 15</v>
      </c>
      <c r="O527">
        <f t="shared" ca="1" si="99"/>
        <v>15</v>
      </c>
      <c r="P527" s="1">
        <f t="shared" ca="1" si="100"/>
        <v>45278</v>
      </c>
      <c r="Q527" s="1">
        <f t="shared" ca="1" si="101"/>
        <v>45287</v>
      </c>
      <c r="R527">
        <f t="shared" ca="1" si="102"/>
        <v>24</v>
      </c>
      <c r="S527" t="str">
        <f t="shared" ca="1" si="103"/>
        <v>Late</v>
      </c>
      <c r="T527" t="str">
        <f t="shared" ca="1" si="104"/>
        <v>0-30</v>
      </c>
      <c r="U527">
        <f t="shared" ca="1" si="105"/>
        <v>9</v>
      </c>
      <c r="V527" t="str">
        <f t="shared" ca="1" si="106"/>
        <v>Inefficient</v>
      </c>
      <c r="W527">
        <f t="shared" si="107"/>
        <v>50902.97</v>
      </c>
    </row>
    <row r="528" spans="1:23" x14ac:dyDescent="0.35">
      <c r="A528" t="s">
        <v>553</v>
      </c>
      <c r="B528" t="s">
        <v>23</v>
      </c>
      <c r="C528" s="1">
        <v>44763</v>
      </c>
      <c r="E528" t="s">
        <v>24</v>
      </c>
      <c r="F528" t="s">
        <v>18</v>
      </c>
      <c r="G528">
        <v>561</v>
      </c>
      <c r="H528">
        <v>35.54</v>
      </c>
      <c r="I528">
        <v>30.99</v>
      </c>
      <c r="J528">
        <v>68</v>
      </c>
      <c r="K528">
        <f t="shared" si="96"/>
        <v>493</v>
      </c>
      <c r="L528" t="s">
        <v>27</v>
      </c>
      <c r="M528" s="1">
        <f t="shared" si="97"/>
        <v>0</v>
      </c>
      <c r="N528" t="str">
        <f t="shared" ca="1" si="98"/>
        <v>Net 45</v>
      </c>
      <c r="O528">
        <f t="shared" ca="1" si="99"/>
        <v>45</v>
      </c>
      <c r="P528" s="1">
        <f t="shared" ca="1" si="100"/>
        <v>45</v>
      </c>
      <c r="Q528" s="1">
        <f t="shared" ca="1" si="101"/>
        <v>47</v>
      </c>
      <c r="R528">
        <f t="shared" ca="1" si="102"/>
        <v>47</v>
      </c>
      <c r="S528" t="str">
        <f t="shared" ca="1" si="103"/>
        <v>Late</v>
      </c>
      <c r="T528" t="str">
        <f t="shared" ca="1" si="104"/>
        <v>31-60</v>
      </c>
      <c r="U528">
        <f t="shared" ca="1" si="105"/>
        <v>2</v>
      </c>
      <c r="V528" t="str">
        <f t="shared" ca="1" si="106"/>
        <v>Inefficient</v>
      </c>
      <c r="W528">
        <f t="shared" si="107"/>
        <v>17385.39</v>
      </c>
    </row>
    <row r="529" spans="1:23" x14ac:dyDescent="0.35">
      <c r="A529" t="s">
        <v>554</v>
      </c>
      <c r="B529" t="s">
        <v>20</v>
      </c>
      <c r="C529" s="1">
        <v>44934</v>
      </c>
      <c r="D529" s="1">
        <v>44940</v>
      </c>
      <c r="E529" t="s">
        <v>39</v>
      </c>
      <c r="F529" t="s">
        <v>18</v>
      </c>
      <c r="G529">
        <v>449</v>
      </c>
      <c r="H529">
        <v>12.35</v>
      </c>
      <c r="I529">
        <v>10.67</v>
      </c>
      <c r="J529">
        <v>29</v>
      </c>
      <c r="K529">
        <f t="shared" si="96"/>
        <v>420</v>
      </c>
      <c r="L529" t="s">
        <v>15</v>
      </c>
      <c r="M529" s="1">
        <f t="shared" si="97"/>
        <v>44940</v>
      </c>
      <c r="N529" t="str">
        <f t="shared" ca="1" si="98"/>
        <v>Net 30</v>
      </c>
      <c r="O529">
        <f t="shared" ca="1" si="99"/>
        <v>30</v>
      </c>
      <c r="P529" s="1">
        <f t="shared" ca="1" si="100"/>
        <v>44970</v>
      </c>
      <c r="Q529" s="1">
        <f t="shared" ca="1" si="101"/>
        <v>44975</v>
      </c>
      <c r="R529">
        <f t="shared" ca="1" si="102"/>
        <v>35</v>
      </c>
      <c r="S529" t="str">
        <f t="shared" ca="1" si="103"/>
        <v>Late</v>
      </c>
      <c r="T529" t="str">
        <f t="shared" ca="1" si="104"/>
        <v>31-60</v>
      </c>
      <c r="U529">
        <f t="shared" ca="1" si="105"/>
        <v>5</v>
      </c>
      <c r="V529" t="str">
        <f t="shared" ca="1" si="106"/>
        <v>Inefficient</v>
      </c>
      <c r="W529">
        <f t="shared" si="107"/>
        <v>4790.83</v>
      </c>
    </row>
    <row r="530" spans="1:23" x14ac:dyDescent="0.35">
      <c r="A530" t="s">
        <v>555</v>
      </c>
      <c r="B530" t="s">
        <v>23</v>
      </c>
      <c r="C530" s="1">
        <v>45003</v>
      </c>
      <c r="D530" s="1">
        <v>45006</v>
      </c>
      <c r="E530" t="s">
        <v>13</v>
      </c>
      <c r="F530" t="s">
        <v>18</v>
      </c>
      <c r="G530">
        <v>703</v>
      </c>
      <c r="H530">
        <v>98.75</v>
      </c>
      <c r="I530">
        <v>86.78</v>
      </c>
      <c r="J530">
        <v>59</v>
      </c>
      <c r="K530">
        <f t="shared" si="96"/>
        <v>644</v>
      </c>
      <c r="L530" t="s">
        <v>15</v>
      </c>
      <c r="M530" s="1">
        <f t="shared" si="97"/>
        <v>45006</v>
      </c>
      <c r="N530" t="str">
        <f t="shared" ca="1" si="98"/>
        <v>Net 30</v>
      </c>
      <c r="O530">
        <f t="shared" ca="1" si="99"/>
        <v>30</v>
      </c>
      <c r="P530" s="1">
        <f t="shared" ca="1" si="100"/>
        <v>45036</v>
      </c>
      <c r="Q530" s="1">
        <f t="shared" ca="1" si="101"/>
        <v>45041</v>
      </c>
      <c r="R530">
        <f t="shared" ca="1" si="102"/>
        <v>35</v>
      </c>
      <c r="S530" t="str">
        <f t="shared" ca="1" si="103"/>
        <v>Late</v>
      </c>
      <c r="T530" t="str">
        <f t="shared" ca="1" si="104"/>
        <v>31-60</v>
      </c>
      <c r="U530">
        <f t="shared" ca="1" si="105"/>
        <v>5</v>
      </c>
      <c r="V530" t="str">
        <f t="shared" ca="1" si="106"/>
        <v>Inefficient</v>
      </c>
      <c r="W530">
        <f t="shared" si="107"/>
        <v>61006.340000000004</v>
      </c>
    </row>
    <row r="531" spans="1:23" x14ac:dyDescent="0.35">
      <c r="A531" t="s">
        <v>556</v>
      </c>
      <c r="B531" t="s">
        <v>20</v>
      </c>
      <c r="C531" s="1">
        <v>44633</v>
      </c>
      <c r="D531" s="1">
        <v>44648</v>
      </c>
      <c r="E531" t="s">
        <v>39</v>
      </c>
      <c r="F531" t="s">
        <v>18</v>
      </c>
      <c r="G531">
        <v>1021</v>
      </c>
      <c r="H531">
        <v>20.8</v>
      </c>
      <c r="I531">
        <v>18.23</v>
      </c>
      <c r="J531">
        <v>37</v>
      </c>
      <c r="K531">
        <f t="shared" si="96"/>
        <v>984</v>
      </c>
      <c r="L531" t="s">
        <v>15</v>
      </c>
      <c r="M531" s="1">
        <f t="shared" si="97"/>
        <v>44648</v>
      </c>
      <c r="N531" t="str">
        <f t="shared" ca="1" si="98"/>
        <v>Net 30</v>
      </c>
      <c r="O531">
        <f t="shared" ca="1" si="99"/>
        <v>30</v>
      </c>
      <c r="P531" s="1">
        <f t="shared" ca="1" si="100"/>
        <v>44678</v>
      </c>
      <c r="Q531" s="1">
        <f t="shared" ca="1" si="101"/>
        <v>44690</v>
      </c>
      <c r="R531">
        <f t="shared" ca="1" si="102"/>
        <v>42</v>
      </c>
      <c r="S531" t="str">
        <f t="shared" ca="1" si="103"/>
        <v>Late</v>
      </c>
      <c r="T531" t="str">
        <f t="shared" ca="1" si="104"/>
        <v>31-60</v>
      </c>
      <c r="U531">
        <f t="shared" ca="1" si="105"/>
        <v>12</v>
      </c>
      <c r="V531" t="str">
        <f t="shared" ca="1" si="106"/>
        <v>Inefficient</v>
      </c>
      <c r="W531">
        <f t="shared" si="107"/>
        <v>18612.830000000002</v>
      </c>
    </row>
    <row r="532" spans="1:23" x14ac:dyDescent="0.35">
      <c r="A532" t="s">
        <v>557</v>
      </c>
      <c r="B532" t="s">
        <v>23</v>
      </c>
      <c r="C532" s="1">
        <v>45242</v>
      </c>
      <c r="D532" s="1">
        <v>45249</v>
      </c>
      <c r="E532" t="s">
        <v>13</v>
      </c>
      <c r="F532" t="s">
        <v>18</v>
      </c>
      <c r="G532">
        <v>1956</v>
      </c>
      <c r="H532">
        <v>68.69</v>
      </c>
      <c r="I532">
        <v>65.09</v>
      </c>
      <c r="K532">
        <f t="shared" si="96"/>
        <v>1956</v>
      </c>
      <c r="L532" t="s">
        <v>15</v>
      </c>
      <c r="M532" s="1">
        <f t="shared" si="97"/>
        <v>45249</v>
      </c>
      <c r="N532" t="str">
        <f t="shared" ca="1" si="98"/>
        <v>Net 45</v>
      </c>
      <c r="O532">
        <f t="shared" ca="1" si="99"/>
        <v>45</v>
      </c>
      <c r="P532" s="1">
        <f t="shared" ca="1" si="100"/>
        <v>45294</v>
      </c>
      <c r="Q532" s="1">
        <f t="shared" ca="1" si="101"/>
        <v>45292</v>
      </c>
      <c r="R532">
        <f t="shared" ca="1" si="102"/>
        <v>43</v>
      </c>
      <c r="S532" t="str">
        <f t="shared" ca="1" si="103"/>
        <v>On Time</v>
      </c>
      <c r="T532" t="str">
        <f t="shared" ca="1" si="104"/>
        <v>31-60</v>
      </c>
      <c r="U532">
        <f t="shared" ca="1" si="105"/>
        <v>0</v>
      </c>
      <c r="V532" t="str">
        <f t="shared" ca="1" si="106"/>
        <v>Efficient</v>
      </c>
      <c r="W532">
        <f t="shared" si="107"/>
        <v>127316.04000000001</v>
      </c>
    </row>
    <row r="533" spans="1:23" x14ac:dyDescent="0.35">
      <c r="A533" t="s">
        <v>558</v>
      </c>
      <c r="B533" t="s">
        <v>17</v>
      </c>
      <c r="C533" s="1">
        <v>44900</v>
      </c>
      <c r="D533" s="1">
        <v>44907</v>
      </c>
      <c r="E533" t="s">
        <v>13</v>
      </c>
      <c r="F533" t="s">
        <v>33</v>
      </c>
      <c r="G533">
        <v>520</v>
      </c>
      <c r="H533">
        <v>36.57</v>
      </c>
      <c r="I533">
        <v>34.78</v>
      </c>
      <c r="J533">
        <v>67</v>
      </c>
      <c r="K533">
        <f t="shared" si="96"/>
        <v>453</v>
      </c>
      <c r="L533" t="s">
        <v>27</v>
      </c>
      <c r="M533" s="1">
        <f t="shared" si="97"/>
        <v>44907</v>
      </c>
      <c r="N533" t="str">
        <f t="shared" ca="1" si="98"/>
        <v>Net 30</v>
      </c>
      <c r="O533">
        <f t="shared" ca="1" si="99"/>
        <v>30</v>
      </c>
      <c r="P533" s="1">
        <f t="shared" ca="1" si="100"/>
        <v>44937</v>
      </c>
      <c r="Q533" s="1">
        <f t="shared" ca="1" si="101"/>
        <v>44951</v>
      </c>
      <c r="R533">
        <f t="shared" ca="1" si="102"/>
        <v>44</v>
      </c>
      <c r="S533" t="str">
        <f t="shared" ca="1" si="103"/>
        <v>Late</v>
      </c>
      <c r="T533" t="str">
        <f t="shared" ca="1" si="104"/>
        <v>31-60</v>
      </c>
      <c r="U533">
        <f t="shared" ca="1" si="105"/>
        <v>14</v>
      </c>
      <c r="V533" t="str">
        <f t="shared" ca="1" si="106"/>
        <v>Inefficient</v>
      </c>
      <c r="W533">
        <f t="shared" si="107"/>
        <v>18085.600000000002</v>
      </c>
    </row>
    <row r="534" spans="1:23" x14ac:dyDescent="0.35">
      <c r="A534" t="s">
        <v>559</v>
      </c>
      <c r="B534" t="s">
        <v>17</v>
      </c>
      <c r="C534" s="1">
        <v>45200</v>
      </c>
      <c r="D534" s="1">
        <v>45211</v>
      </c>
      <c r="E534" t="s">
        <v>21</v>
      </c>
      <c r="F534" t="s">
        <v>18</v>
      </c>
      <c r="G534">
        <v>1216</v>
      </c>
      <c r="H534">
        <v>66.16</v>
      </c>
      <c r="I534">
        <v>63</v>
      </c>
      <c r="J534">
        <v>179</v>
      </c>
      <c r="K534">
        <f t="shared" si="96"/>
        <v>1037</v>
      </c>
      <c r="L534" t="s">
        <v>27</v>
      </c>
      <c r="M534" s="1">
        <f t="shared" si="97"/>
        <v>45211</v>
      </c>
      <c r="N534" t="str">
        <f t="shared" ca="1" si="98"/>
        <v>Net 30</v>
      </c>
      <c r="O534">
        <f t="shared" ca="1" si="99"/>
        <v>30</v>
      </c>
      <c r="P534" s="1">
        <f t="shared" ca="1" si="100"/>
        <v>45241</v>
      </c>
      <c r="Q534" s="1">
        <f t="shared" ca="1" si="101"/>
        <v>45244</v>
      </c>
      <c r="R534">
        <f t="shared" ca="1" si="102"/>
        <v>33</v>
      </c>
      <c r="S534" t="str">
        <f t="shared" ca="1" si="103"/>
        <v>Late</v>
      </c>
      <c r="T534" t="str">
        <f t="shared" ca="1" si="104"/>
        <v>31-60</v>
      </c>
      <c r="U534">
        <f t="shared" ca="1" si="105"/>
        <v>3</v>
      </c>
      <c r="V534" t="str">
        <f t="shared" ca="1" si="106"/>
        <v>Inefficient</v>
      </c>
      <c r="W534">
        <f t="shared" si="107"/>
        <v>76608</v>
      </c>
    </row>
    <row r="535" spans="1:23" x14ac:dyDescent="0.35">
      <c r="A535" t="s">
        <v>560</v>
      </c>
      <c r="B535" t="s">
        <v>12</v>
      </c>
      <c r="C535" s="1">
        <v>44883</v>
      </c>
      <c r="E535" t="s">
        <v>26</v>
      </c>
      <c r="F535" t="s">
        <v>18</v>
      </c>
      <c r="G535">
        <v>1165</v>
      </c>
      <c r="H535">
        <v>72.06</v>
      </c>
      <c r="I535">
        <v>63.93</v>
      </c>
      <c r="K535">
        <f t="shared" si="96"/>
        <v>1165</v>
      </c>
      <c r="L535" t="s">
        <v>15</v>
      </c>
      <c r="M535" s="1">
        <f t="shared" si="97"/>
        <v>0</v>
      </c>
      <c r="N535" t="str">
        <f t="shared" ca="1" si="98"/>
        <v>Net 30</v>
      </c>
      <c r="O535">
        <f t="shared" ca="1" si="99"/>
        <v>30</v>
      </c>
      <c r="P535" s="1">
        <f t="shared" ca="1" si="100"/>
        <v>30</v>
      </c>
      <c r="Q535" s="1">
        <f t="shared" ca="1" si="101"/>
        <v>40</v>
      </c>
      <c r="R535">
        <f t="shared" ca="1" si="102"/>
        <v>40</v>
      </c>
      <c r="S535" t="str">
        <f t="shared" ca="1" si="103"/>
        <v>Late</v>
      </c>
      <c r="T535" t="str">
        <f t="shared" ca="1" si="104"/>
        <v>31-60</v>
      </c>
      <c r="U535">
        <f t="shared" ca="1" si="105"/>
        <v>10</v>
      </c>
      <c r="V535" t="str">
        <f t="shared" ca="1" si="106"/>
        <v>Inefficient</v>
      </c>
      <c r="W535">
        <f t="shared" si="107"/>
        <v>74478.45</v>
      </c>
    </row>
    <row r="536" spans="1:23" x14ac:dyDescent="0.35">
      <c r="A536" t="s">
        <v>561</v>
      </c>
      <c r="B536" t="s">
        <v>17</v>
      </c>
      <c r="C536" s="1">
        <v>45241</v>
      </c>
      <c r="D536" s="1">
        <v>45259</v>
      </c>
      <c r="E536" t="s">
        <v>24</v>
      </c>
      <c r="F536" t="s">
        <v>35</v>
      </c>
      <c r="G536">
        <v>1427</v>
      </c>
      <c r="H536">
        <v>93.99</v>
      </c>
      <c r="I536">
        <v>83.6</v>
      </c>
      <c r="J536">
        <v>213</v>
      </c>
      <c r="K536">
        <f t="shared" si="96"/>
        <v>1214</v>
      </c>
      <c r="L536" t="s">
        <v>15</v>
      </c>
      <c r="M536" s="1">
        <f t="shared" si="97"/>
        <v>45259</v>
      </c>
      <c r="N536" t="str">
        <f t="shared" ca="1" si="98"/>
        <v>Net 30</v>
      </c>
      <c r="O536">
        <f t="shared" ca="1" si="99"/>
        <v>30</v>
      </c>
      <c r="P536" s="1">
        <f t="shared" ca="1" si="100"/>
        <v>45289</v>
      </c>
      <c r="Q536" s="1">
        <f t="shared" ca="1" si="101"/>
        <v>45287</v>
      </c>
      <c r="R536">
        <f t="shared" ca="1" si="102"/>
        <v>28</v>
      </c>
      <c r="S536" t="str">
        <f t="shared" ca="1" si="103"/>
        <v>On Time</v>
      </c>
      <c r="T536" t="str">
        <f t="shared" ca="1" si="104"/>
        <v>0-30</v>
      </c>
      <c r="U536">
        <f t="shared" ca="1" si="105"/>
        <v>0</v>
      </c>
      <c r="V536" t="str">
        <f t="shared" ca="1" si="106"/>
        <v>Efficient</v>
      </c>
      <c r="W536">
        <f t="shared" si="107"/>
        <v>119297.2</v>
      </c>
    </row>
    <row r="537" spans="1:23" x14ac:dyDescent="0.35">
      <c r="A537" t="s">
        <v>562</v>
      </c>
      <c r="B537" t="s">
        <v>29</v>
      </c>
      <c r="C537" s="1">
        <v>44689</v>
      </c>
      <c r="D537" s="1">
        <v>44691</v>
      </c>
      <c r="E537" t="s">
        <v>39</v>
      </c>
      <c r="F537" t="s">
        <v>18</v>
      </c>
      <c r="G537">
        <v>883</v>
      </c>
      <c r="H537">
        <v>29.15</v>
      </c>
      <c r="I537">
        <v>25.75</v>
      </c>
      <c r="J537">
        <v>14</v>
      </c>
      <c r="K537">
        <f t="shared" si="96"/>
        <v>869</v>
      </c>
      <c r="L537" t="s">
        <v>15</v>
      </c>
      <c r="M537" s="1">
        <f t="shared" si="97"/>
        <v>44691</v>
      </c>
      <c r="N537" t="str">
        <f t="shared" ca="1" si="98"/>
        <v>Net 15</v>
      </c>
      <c r="O537">
        <f t="shared" ca="1" si="99"/>
        <v>15</v>
      </c>
      <c r="P537" s="1">
        <f t="shared" ca="1" si="100"/>
        <v>44706</v>
      </c>
      <c r="Q537" s="1">
        <f t="shared" ca="1" si="101"/>
        <v>44719</v>
      </c>
      <c r="R537">
        <f t="shared" ca="1" si="102"/>
        <v>28</v>
      </c>
      <c r="S537" t="str">
        <f t="shared" ca="1" si="103"/>
        <v>Late</v>
      </c>
      <c r="T537" t="str">
        <f t="shared" ca="1" si="104"/>
        <v>0-30</v>
      </c>
      <c r="U537">
        <f t="shared" ca="1" si="105"/>
        <v>13</v>
      </c>
      <c r="V537" t="str">
        <f t="shared" ca="1" si="106"/>
        <v>Inefficient</v>
      </c>
      <c r="W537">
        <f t="shared" si="107"/>
        <v>22737.25</v>
      </c>
    </row>
    <row r="538" spans="1:23" x14ac:dyDescent="0.35">
      <c r="A538" t="s">
        <v>563</v>
      </c>
      <c r="B538" t="s">
        <v>17</v>
      </c>
      <c r="C538" s="1">
        <v>44869</v>
      </c>
      <c r="D538" s="1">
        <v>44876</v>
      </c>
      <c r="E538" t="s">
        <v>24</v>
      </c>
      <c r="F538" t="s">
        <v>33</v>
      </c>
      <c r="G538">
        <v>1873</v>
      </c>
      <c r="H538">
        <v>11.54</v>
      </c>
      <c r="I538">
        <v>9.89</v>
      </c>
      <c r="J538">
        <v>284</v>
      </c>
      <c r="K538">
        <f t="shared" si="96"/>
        <v>1589</v>
      </c>
      <c r="L538" t="s">
        <v>27</v>
      </c>
      <c r="M538" s="1">
        <f t="shared" si="97"/>
        <v>44876</v>
      </c>
      <c r="N538" t="str">
        <f t="shared" ca="1" si="98"/>
        <v>Net 45</v>
      </c>
      <c r="O538">
        <f t="shared" ca="1" si="99"/>
        <v>45</v>
      </c>
      <c r="P538" s="1">
        <f t="shared" ca="1" si="100"/>
        <v>44921</v>
      </c>
      <c r="Q538" s="1">
        <f t="shared" ca="1" si="101"/>
        <v>44931</v>
      </c>
      <c r="R538">
        <f t="shared" ca="1" si="102"/>
        <v>55</v>
      </c>
      <c r="S538" t="str">
        <f t="shared" ca="1" si="103"/>
        <v>Late</v>
      </c>
      <c r="T538" t="str">
        <f t="shared" ca="1" si="104"/>
        <v>31-60</v>
      </c>
      <c r="U538">
        <f t="shared" ca="1" si="105"/>
        <v>10</v>
      </c>
      <c r="V538" t="str">
        <f t="shared" ca="1" si="106"/>
        <v>Inefficient</v>
      </c>
      <c r="W538">
        <f t="shared" si="107"/>
        <v>18523.97</v>
      </c>
    </row>
    <row r="539" spans="1:23" x14ac:dyDescent="0.35">
      <c r="A539" t="s">
        <v>564</v>
      </c>
      <c r="B539" t="s">
        <v>29</v>
      </c>
      <c r="C539" s="1">
        <v>45081</v>
      </c>
      <c r="D539" s="1">
        <v>45083</v>
      </c>
      <c r="E539" t="s">
        <v>13</v>
      </c>
      <c r="F539" t="s">
        <v>18</v>
      </c>
      <c r="G539">
        <v>776</v>
      </c>
      <c r="H539">
        <v>24.22</v>
      </c>
      <c r="I539">
        <v>22.53</v>
      </c>
      <c r="J539">
        <v>27</v>
      </c>
      <c r="K539">
        <f t="shared" si="96"/>
        <v>749</v>
      </c>
      <c r="L539" t="s">
        <v>15</v>
      </c>
      <c r="M539" s="1">
        <f t="shared" si="97"/>
        <v>45083</v>
      </c>
      <c r="N539" t="str">
        <f t="shared" ca="1" si="98"/>
        <v>Net 30</v>
      </c>
      <c r="O539">
        <f t="shared" ca="1" si="99"/>
        <v>30</v>
      </c>
      <c r="P539" s="1">
        <f t="shared" ca="1" si="100"/>
        <v>45113</v>
      </c>
      <c r="Q539" s="1">
        <f t="shared" ca="1" si="101"/>
        <v>45110</v>
      </c>
      <c r="R539">
        <f t="shared" ca="1" si="102"/>
        <v>27</v>
      </c>
      <c r="S539" t="str">
        <f t="shared" ca="1" si="103"/>
        <v>On Time</v>
      </c>
      <c r="T539" t="str">
        <f t="shared" ca="1" si="104"/>
        <v>0-30</v>
      </c>
      <c r="U539">
        <f t="shared" ca="1" si="105"/>
        <v>0</v>
      </c>
      <c r="V539" t="str">
        <f t="shared" ca="1" si="106"/>
        <v>Efficient</v>
      </c>
      <c r="W539">
        <f t="shared" si="107"/>
        <v>17483.280000000002</v>
      </c>
    </row>
    <row r="540" spans="1:23" x14ac:dyDescent="0.35">
      <c r="A540" t="s">
        <v>565</v>
      </c>
      <c r="B540" t="s">
        <v>17</v>
      </c>
      <c r="C540" s="1">
        <v>44878</v>
      </c>
      <c r="D540" s="1">
        <v>44889</v>
      </c>
      <c r="E540" t="s">
        <v>39</v>
      </c>
      <c r="F540" t="s">
        <v>18</v>
      </c>
      <c r="G540">
        <v>903</v>
      </c>
      <c r="H540">
        <v>95.55</v>
      </c>
      <c r="I540">
        <v>92.45</v>
      </c>
      <c r="J540">
        <v>149</v>
      </c>
      <c r="K540">
        <f t="shared" si="96"/>
        <v>754</v>
      </c>
      <c r="L540" t="s">
        <v>27</v>
      </c>
      <c r="M540" s="1">
        <f t="shared" si="97"/>
        <v>44889</v>
      </c>
      <c r="N540" t="str">
        <f t="shared" ca="1" si="98"/>
        <v>Net 30</v>
      </c>
      <c r="O540">
        <f t="shared" ca="1" si="99"/>
        <v>30</v>
      </c>
      <c r="P540" s="1">
        <f t="shared" ca="1" si="100"/>
        <v>44919</v>
      </c>
      <c r="Q540" s="1">
        <f t="shared" ca="1" si="101"/>
        <v>44934</v>
      </c>
      <c r="R540">
        <f t="shared" ca="1" si="102"/>
        <v>45</v>
      </c>
      <c r="S540" t="str">
        <f t="shared" ca="1" si="103"/>
        <v>Late</v>
      </c>
      <c r="T540" t="str">
        <f t="shared" ca="1" si="104"/>
        <v>31-60</v>
      </c>
      <c r="U540">
        <f t="shared" ca="1" si="105"/>
        <v>15</v>
      </c>
      <c r="V540" t="str">
        <f t="shared" ca="1" si="106"/>
        <v>Inefficient</v>
      </c>
      <c r="W540">
        <f t="shared" si="107"/>
        <v>83482.350000000006</v>
      </c>
    </row>
    <row r="541" spans="1:23" x14ac:dyDescent="0.35">
      <c r="A541" t="s">
        <v>566</v>
      </c>
      <c r="B541" t="s">
        <v>29</v>
      </c>
      <c r="C541" s="1">
        <v>45244</v>
      </c>
      <c r="D541" s="1">
        <v>45256</v>
      </c>
      <c r="E541" t="s">
        <v>39</v>
      </c>
      <c r="F541" t="s">
        <v>18</v>
      </c>
      <c r="G541">
        <v>100</v>
      </c>
      <c r="H541">
        <v>98.4</v>
      </c>
      <c r="I541">
        <v>85.76</v>
      </c>
      <c r="J541">
        <v>3</v>
      </c>
      <c r="K541">
        <f t="shared" si="96"/>
        <v>97</v>
      </c>
      <c r="L541" t="s">
        <v>15</v>
      </c>
      <c r="M541" s="1">
        <f t="shared" si="97"/>
        <v>45256</v>
      </c>
      <c r="N541" t="str">
        <f t="shared" ca="1" si="98"/>
        <v>Net 45</v>
      </c>
      <c r="O541">
        <f t="shared" ca="1" si="99"/>
        <v>45</v>
      </c>
      <c r="P541" s="1">
        <f t="shared" ca="1" si="100"/>
        <v>45301</v>
      </c>
      <c r="Q541" s="1">
        <f t="shared" ca="1" si="101"/>
        <v>45315</v>
      </c>
      <c r="R541">
        <f t="shared" ca="1" si="102"/>
        <v>59</v>
      </c>
      <c r="S541" t="str">
        <f t="shared" ca="1" si="103"/>
        <v>Late</v>
      </c>
      <c r="T541" t="str">
        <f t="shared" ca="1" si="104"/>
        <v>31-60</v>
      </c>
      <c r="U541">
        <f t="shared" ca="1" si="105"/>
        <v>14</v>
      </c>
      <c r="V541" t="str">
        <f t="shared" ca="1" si="106"/>
        <v>Inefficient</v>
      </c>
      <c r="W541">
        <f t="shared" si="107"/>
        <v>8576</v>
      </c>
    </row>
    <row r="542" spans="1:23" x14ac:dyDescent="0.35">
      <c r="A542" t="s">
        <v>567</v>
      </c>
      <c r="B542" t="s">
        <v>29</v>
      </c>
      <c r="C542" s="1">
        <v>44980</v>
      </c>
      <c r="D542" s="1">
        <v>44993</v>
      </c>
      <c r="E542" t="s">
        <v>13</v>
      </c>
      <c r="F542" t="s">
        <v>18</v>
      </c>
      <c r="G542">
        <v>1738</v>
      </c>
      <c r="H542">
        <v>67.91</v>
      </c>
      <c r="I542">
        <v>61.15</v>
      </c>
      <c r="K542">
        <f t="shared" si="96"/>
        <v>1738</v>
      </c>
      <c r="L542" t="s">
        <v>15</v>
      </c>
      <c r="M542" s="1">
        <f t="shared" si="97"/>
        <v>44993</v>
      </c>
      <c r="N542" t="str">
        <f t="shared" ca="1" si="98"/>
        <v>Net 45</v>
      </c>
      <c r="O542">
        <f t="shared" ca="1" si="99"/>
        <v>45</v>
      </c>
      <c r="P542" s="1">
        <f t="shared" ca="1" si="100"/>
        <v>45038</v>
      </c>
      <c r="Q542" s="1">
        <f t="shared" ca="1" si="101"/>
        <v>45046</v>
      </c>
      <c r="R542">
        <f t="shared" ca="1" si="102"/>
        <v>53</v>
      </c>
      <c r="S542" t="str">
        <f t="shared" ca="1" si="103"/>
        <v>Late</v>
      </c>
      <c r="T542" t="str">
        <f t="shared" ca="1" si="104"/>
        <v>31-60</v>
      </c>
      <c r="U542">
        <f t="shared" ca="1" si="105"/>
        <v>8</v>
      </c>
      <c r="V542" t="str">
        <f t="shared" ca="1" si="106"/>
        <v>Inefficient</v>
      </c>
      <c r="W542">
        <f t="shared" si="107"/>
        <v>106278.7</v>
      </c>
    </row>
    <row r="543" spans="1:23" x14ac:dyDescent="0.35">
      <c r="A543" t="s">
        <v>568</v>
      </c>
      <c r="B543" t="s">
        <v>17</v>
      </c>
      <c r="C543" s="1">
        <v>44896</v>
      </c>
      <c r="D543" s="1">
        <v>44909</v>
      </c>
      <c r="E543" t="s">
        <v>24</v>
      </c>
      <c r="F543" t="s">
        <v>18</v>
      </c>
      <c r="G543">
        <v>1771</v>
      </c>
      <c r="H543">
        <v>67.569999999999993</v>
      </c>
      <c r="I543">
        <v>61.48</v>
      </c>
      <c r="J543">
        <v>280</v>
      </c>
      <c r="K543">
        <f t="shared" si="96"/>
        <v>1491</v>
      </c>
      <c r="L543" t="s">
        <v>27</v>
      </c>
      <c r="M543" s="1">
        <f t="shared" si="97"/>
        <v>44909</v>
      </c>
      <c r="N543" t="str">
        <f t="shared" ca="1" si="98"/>
        <v>Net 30</v>
      </c>
      <c r="O543">
        <f t="shared" ca="1" si="99"/>
        <v>30</v>
      </c>
      <c r="P543" s="1">
        <f t="shared" ca="1" si="100"/>
        <v>44939</v>
      </c>
      <c r="Q543" s="1">
        <f t="shared" ca="1" si="101"/>
        <v>44936</v>
      </c>
      <c r="R543">
        <f t="shared" ca="1" si="102"/>
        <v>27</v>
      </c>
      <c r="S543" t="str">
        <f t="shared" ca="1" si="103"/>
        <v>On Time</v>
      </c>
      <c r="T543" t="str">
        <f t="shared" ca="1" si="104"/>
        <v>0-30</v>
      </c>
      <c r="U543">
        <f t="shared" ca="1" si="105"/>
        <v>0</v>
      </c>
      <c r="V543" t="str">
        <f t="shared" ca="1" si="106"/>
        <v>Efficient</v>
      </c>
      <c r="W543">
        <f t="shared" si="107"/>
        <v>108881.07999999999</v>
      </c>
    </row>
    <row r="544" spans="1:23" x14ac:dyDescent="0.35">
      <c r="A544" t="s">
        <v>569</v>
      </c>
      <c r="B544" t="s">
        <v>29</v>
      </c>
      <c r="C544" s="1">
        <v>44974</v>
      </c>
      <c r="D544" s="1">
        <v>44980</v>
      </c>
      <c r="E544" t="s">
        <v>39</v>
      </c>
      <c r="F544" t="s">
        <v>18</v>
      </c>
      <c r="G544">
        <v>624</v>
      </c>
      <c r="H544">
        <v>74.39</v>
      </c>
      <c r="I544">
        <v>66.3</v>
      </c>
      <c r="J544">
        <v>18</v>
      </c>
      <c r="K544">
        <f t="shared" si="96"/>
        <v>606</v>
      </c>
      <c r="L544" t="s">
        <v>27</v>
      </c>
      <c r="M544" s="1">
        <f t="shared" si="97"/>
        <v>44980</v>
      </c>
      <c r="N544" t="str">
        <f t="shared" ca="1" si="98"/>
        <v>Net 15</v>
      </c>
      <c r="O544">
        <f t="shared" ca="1" si="99"/>
        <v>15</v>
      </c>
      <c r="P544" s="1">
        <f t="shared" ca="1" si="100"/>
        <v>44995</v>
      </c>
      <c r="Q544" s="1">
        <f t="shared" ca="1" si="101"/>
        <v>45005</v>
      </c>
      <c r="R544">
        <f t="shared" ca="1" si="102"/>
        <v>25</v>
      </c>
      <c r="S544" t="str">
        <f t="shared" ca="1" si="103"/>
        <v>Late</v>
      </c>
      <c r="T544" t="str">
        <f t="shared" ca="1" si="104"/>
        <v>0-30</v>
      </c>
      <c r="U544">
        <f t="shared" ca="1" si="105"/>
        <v>10</v>
      </c>
      <c r="V544" t="str">
        <f t="shared" ca="1" si="106"/>
        <v>Inefficient</v>
      </c>
      <c r="W544">
        <f t="shared" si="107"/>
        <v>41371.199999999997</v>
      </c>
    </row>
    <row r="545" spans="1:23" x14ac:dyDescent="0.35">
      <c r="A545" t="s">
        <v>570</v>
      </c>
      <c r="B545" t="s">
        <v>12</v>
      </c>
      <c r="C545" s="1">
        <v>45275</v>
      </c>
      <c r="D545" s="1">
        <v>45291</v>
      </c>
      <c r="E545" t="s">
        <v>24</v>
      </c>
      <c r="F545" t="s">
        <v>33</v>
      </c>
      <c r="G545">
        <v>1263</v>
      </c>
      <c r="H545">
        <v>28.75</v>
      </c>
      <c r="I545">
        <v>27.1</v>
      </c>
      <c r="J545">
        <v>26</v>
      </c>
      <c r="K545">
        <f t="shared" si="96"/>
        <v>1237</v>
      </c>
      <c r="L545" t="s">
        <v>15</v>
      </c>
      <c r="M545" s="1">
        <f t="shared" si="97"/>
        <v>45291</v>
      </c>
      <c r="N545" t="str">
        <f t="shared" ca="1" si="98"/>
        <v>Net 45</v>
      </c>
      <c r="O545">
        <f t="shared" ca="1" si="99"/>
        <v>45</v>
      </c>
      <c r="P545" s="1">
        <f t="shared" ca="1" si="100"/>
        <v>45336</v>
      </c>
      <c r="Q545" s="1">
        <f t="shared" ca="1" si="101"/>
        <v>45353</v>
      </c>
      <c r="R545">
        <f t="shared" ca="1" si="102"/>
        <v>62</v>
      </c>
      <c r="S545" t="str">
        <f t="shared" ca="1" si="103"/>
        <v>Late</v>
      </c>
      <c r="T545" t="str">
        <f t="shared" ca="1" si="104"/>
        <v>61-90</v>
      </c>
      <c r="U545">
        <f t="shared" ca="1" si="105"/>
        <v>17</v>
      </c>
      <c r="V545" t="str">
        <f t="shared" ca="1" si="106"/>
        <v>Inefficient</v>
      </c>
      <c r="W545">
        <f t="shared" si="107"/>
        <v>34227.300000000003</v>
      </c>
    </row>
    <row r="546" spans="1:23" x14ac:dyDescent="0.35">
      <c r="A546" t="s">
        <v>571</v>
      </c>
      <c r="B546" t="s">
        <v>20</v>
      </c>
      <c r="C546" s="1">
        <v>44864</v>
      </c>
      <c r="D546" s="1">
        <v>44881</v>
      </c>
      <c r="E546" t="s">
        <v>39</v>
      </c>
      <c r="F546" t="s">
        <v>14</v>
      </c>
      <c r="G546">
        <v>1198</v>
      </c>
      <c r="H546">
        <v>96.45</v>
      </c>
      <c r="I546">
        <v>90.09</v>
      </c>
      <c r="K546">
        <f t="shared" si="96"/>
        <v>1198</v>
      </c>
      <c r="L546" t="s">
        <v>15</v>
      </c>
      <c r="M546" s="1">
        <f t="shared" si="97"/>
        <v>44881</v>
      </c>
      <c r="N546" t="str">
        <f t="shared" ca="1" si="98"/>
        <v>Net 30</v>
      </c>
      <c r="O546">
        <f t="shared" ca="1" si="99"/>
        <v>30</v>
      </c>
      <c r="P546" s="1">
        <f t="shared" ca="1" si="100"/>
        <v>44911</v>
      </c>
      <c r="Q546" s="1">
        <f t="shared" ca="1" si="101"/>
        <v>44913</v>
      </c>
      <c r="R546">
        <f t="shared" ca="1" si="102"/>
        <v>32</v>
      </c>
      <c r="S546" t="str">
        <f t="shared" ca="1" si="103"/>
        <v>Late</v>
      </c>
      <c r="T546" t="str">
        <f t="shared" ca="1" si="104"/>
        <v>31-60</v>
      </c>
      <c r="U546">
        <f t="shared" ca="1" si="105"/>
        <v>2</v>
      </c>
      <c r="V546" t="str">
        <f t="shared" ca="1" si="106"/>
        <v>Inefficient</v>
      </c>
      <c r="W546">
        <f t="shared" si="107"/>
        <v>107927.82</v>
      </c>
    </row>
    <row r="547" spans="1:23" x14ac:dyDescent="0.35">
      <c r="A547" t="s">
        <v>572</v>
      </c>
      <c r="B547" t="s">
        <v>29</v>
      </c>
      <c r="C547" s="1">
        <v>45129</v>
      </c>
      <c r="D547" s="1">
        <v>45132</v>
      </c>
      <c r="E547" t="s">
        <v>26</v>
      </c>
      <c r="F547" t="s">
        <v>18</v>
      </c>
      <c r="G547">
        <v>199</v>
      </c>
      <c r="H547">
        <v>51.98</v>
      </c>
      <c r="I547">
        <v>45.64</v>
      </c>
      <c r="K547">
        <f t="shared" si="96"/>
        <v>199</v>
      </c>
      <c r="L547" t="s">
        <v>27</v>
      </c>
      <c r="M547" s="1">
        <f t="shared" si="97"/>
        <v>45132</v>
      </c>
      <c r="N547" t="str">
        <f t="shared" ca="1" si="98"/>
        <v>Net 30</v>
      </c>
      <c r="O547">
        <f t="shared" ca="1" si="99"/>
        <v>30</v>
      </c>
      <c r="P547" s="1">
        <f t="shared" ca="1" si="100"/>
        <v>45162</v>
      </c>
      <c r="Q547" s="1">
        <f t="shared" ca="1" si="101"/>
        <v>45179</v>
      </c>
      <c r="R547">
        <f t="shared" ca="1" si="102"/>
        <v>47</v>
      </c>
      <c r="S547" t="str">
        <f t="shared" ca="1" si="103"/>
        <v>Late</v>
      </c>
      <c r="T547" t="str">
        <f t="shared" ca="1" si="104"/>
        <v>31-60</v>
      </c>
      <c r="U547">
        <f t="shared" ca="1" si="105"/>
        <v>17</v>
      </c>
      <c r="V547" t="str">
        <f t="shared" ca="1" si="106"/>
        <v>Inefficient</v>
      </c>
      <c r="W547">
        <f t="shared" si="107"/>
        <v>9082.36</v>
      </c>
    </row>
    <row r="548" spans="1:23" x14ac:dyDescent="0.35">
      <c r="A548" t="s">
        <v>573</v>
      </c>
      <c r="B548" t="s">
        <v>29</v>
      </c>
      <c r="C548" s="1">
        <v>44692</v>
      </c>
      <c r="D548" s="1">
        <v>44695</v>
      </c>
      <c r="E548" t="s">
        <v>21</v>
      </c>
      <c r="F548" t="s">
        <v>35</v>
      </c>
      <c r="G548">
        <v>363</v>
      </c>
      <c r="H548">
        <v>45.37</v>
      </c>
      <c r="I548">
        <v>38.729999999999997</v>
      </c>
      <c r="K548">
        <f t="shared" si="96"/>
        <v>363</v>
      </c>
      <c r="L548" t="s">
        <v>15</v>
      </c>
      <c r="M548" s="1">
        <f t="shared" si="97"/>
        <v>44695</v>
      </c>
      <c r="N548" t="str">
        <f t="shared" ca="1" si="98"/>
        <v>Net 30</v>
      </c>
      <c r="O548">
        <f t="shared" ca="1" si="99"/>
        <v>30</v>
      </c>
      <c r="P548" s="1">
        <f t="shared" ca="1" si="100"/>
        <v>44725</v>
      </c>
      <c r="Q548" s="1">
        <f t="shared" ca="1" si="101"/>
        <v>44727</v>
      </c>
      <c r="R548">
        <f t="shared" ca="1" si="102"/>
        <v>32</v>
      </c>
      <c r="S548" t="str">
        <f t="shared" ca="1" si="103"/>
        <v>Late</v>
      </c>
      <c r="T548" t="str">
        <f t="shared" ca="1" si="104"/>
        <v>31-60</v>
      </c>
      <c r="U548">
        <f t="shared" ca="1" si="105"/>
        <v>2</v>
      </c>
      <c r="V548" t="str">
        <f t="shared" ca="1" si="106"/>
        <v>Inefficient</v>
      </c>
      <c r="W548">
        <f t="shared" si="107"/>
        <v>14058.989999999998</v>
      </c>
    </row>
    <row r="549" spans="1:23" x14ac:dyDescent="0.35">
      <c r="A549" t="s">
        <v>574</v>
      </c>
      <c r="B549" t="s">
        <v>12</v>
      </c>
      <c r="C549" s="1">
        <v>44758</v>
      </c>
      <c r="D549" s="1">
        <v>44764</v>
      </c>
      <c r="E549" t="s">
        <v>13</v>
      </c>
      <c r="F549" t="s">
        <v>18</v>
      </c>
      <c r="G549">
        <v>619</v>
      </c>
      <c r="H549">
        <v>58.4</v>
      </c>
      <c r="I549">
        <v>51.04</v>
      </c>
      <c r="K549">
        <f t="shared" si="96"/>
        <v>619</v>
      </c>
      <c r="L549" t="s">
        <v>15</v>
      </c>
      <c r="M549" s="1">
        <f t="shared" si="97"/>
        <v>44764</v>
      </c>
      <c r="N549" t="str">
        <f t="shared" ca="1" si="98"/>
        <v>Net 45</v>
      </c>
      <c r="O549">
        <f t="shared" ca="1" si="99"/>
        <v>45</v>
      </c>
      <c r="P549" s="1">
        <f t="shared" ca="1" si="100"/>
        <v>44809</v>
      </c>
      <c r="Q549" s="1">
        <f t="shared" ca="1" si="101"/>
        <v>44828</v>
      </c>
      <c r="R549">
        <f t="shared" ca="1" si="102"/>
        <v>64</v>
      </c>
      <c r="S549" t="str">
        <f t="shared" ca="1" si="103"/>
        <v>Late</v>
      </c>
      <c r="T549" t="str">
        <f t="shared" ca="1" si="104"/>
        <v>61-90</v>
      </c>
      <c r="U549">
        <f t="shared" ca="1" si="105"/>
        <v>19</v>
      </c>
      <c r="V549" t="str">
        <f t="shared" ca="1" si="106"/>
        <v>Inefficient</v>
      </c>
      <c r="W549">
        <f t="shared" si="107"/>
        <v>31593.759999999998</v>
      </c>
    </row>
    <row r="550" spans="1:23" x14ac:dyDescent="0.35">
      <c r="A550" t="s">
        <v>575</v>
      </c>
      <c r="B550" t="s">
        <v>12</v>
      </c>
      <c r="C550" s="1">
        <v>44992</v>
      </c>
      <c r="D550" s="1">
        <v>45003</v>
      </c>
      <c r="E550" t="s">
        <v>21</v>
      </c>
      <c r="F550" t="s">
        <v>18</v>
      </c>
      <c r="G550">
        <v>1415</v>
      </c>
      <c r="H550">
        <v>15.22</v>
      </c>
      <c r="I550">
        <v>13.56</v>
      </c>
      <c r="J550">
        <v>30</v>
      </c>
      <c r="K550">
        <f t="shared" si="96"/>
        <v>1385</v>
      </c>
      <c r="L550" t="s">
        <v>15</v>
      </c>
      <c r="M550" s="1">
        <f t="shared" si="97"/>
        <v>45003</v>
      </c>
      <c r="N550" t="str">
        <f t="shared" ca="1" si="98"/>
        <v>Net 15</v>
      </c>
      <c r="O550">
        <f t="shared" ca="1" si="99"/>
        <v>15</v>
      </c>
      <c r="P550" s="1">
        <f t="shared" ca="1" si="100"/>
        <v>45018</v>
      </c>
      <c r="Q550" s="1">
        <f t="shared" ca="1" si="101"/>
        <v>45019</v>
      </c>
      <c r="R550">
        <f t="shared" ca="1" si="102"/>
        <v>16</v>
      </c>
      <c r="S550" t="str">
        <f t="shared" ca="1" si="103"/>
        <v>Late</v>
      </c>
      <c r="T550" t="str">
        <f t="shared" ca="1" si="104"/>
        <v>0-30</v>
      </c>
      <c r="U550">
        <f t="shared" ca="1" si="105"/>
        <v>1</v>
      </c>
      <c r="V550" t="str">
        <f t="shared" ca="1" si="106"/>
        <v>Inefficient</v>
      </c>
      <c r="W550">
        <f t="shared" si="107"/>
        <v>19187.400000000001</v>
      </c>
    </row>
    <row r="551" spans="1:23" x14ac:dyDescent="0.35">
      <c r="A551" t="s">
        <v>576</v>
      </c>
      <c r="B551" t="s">
        <v>23</v>
      </c>
      <c r="C551" s="1">
        <v>45242</v>
      </c>
      <c r="D551" s="1">
        <v>45253</v>
      </c>
      <c r="E551" t="s">
        <v>24</v>
      </c>
      <c r="F551" t="s">
        <v>18</v>
      </c>
      <c r="G551">
        <v>354</v>
      </c>
      <c r="H551">
        <v>27.71</v>
      </c>
      <c r="I551">
        <v>23.87</v>
      </c>
      <c r="J551">
        <v>39</v>
      </c>
      <c r="K551">
        <f t="shared" si="96"/>
        <v>315</v>
      </c>
      <c r="L551" t="s">
        <v>27</v>
      </c>
      <c r="M551" s="1">
        <f t="shared" si="97"/>
        <v>45253</v>
      </c>
      <c r="N551" t="str">
        <f t="shared" ca="1" si="98"/>
        <v>Net 30</v>
      </c>
      <c r="O551">
        <f t="shared" ca="1" si="99"/>
        <v>30</v>
      </c>
      <c r="P551" s="1">
        <f t="shared" ca="1" si="100"/>
        <v>45283</v>
      </c>
      <c r="Q551" s="1">
        <f t="shared" ca="1" si="101"/>
        <v>45296</v>
      </c>
      <c r="R551">
        <f t="shared" ca="1" si="102"/>
        <v>43</v>
      </c>
      <c r="S551" t="str">
        <f t="shared" ca="1" si="103"/>
        <v>Late</v>
      </c>
      <c r="T551" t="str">
        <f t="shared" ca="1" si="104"/>
        <v>31-60</v>
      </c>
      <c r="U551">
        <f t="shared" ca="1" si="105"/>
        <v>13</v>
      </c>
      <c r="V551" t="str">
        <f t="shared" ca="1" si="106"/>
        <v>Inefficient</v>
      </c>
      <c r="W551">
        <f t="shared" si="107"/>
        <v>8449.98</v>
      </c>
    </row>
    <row r="552" spans="1:23" x14ac:dyDescent="0.35">
      <c r="A552" t="s">
        <v>577</v>
      </c>
      <c r="B552" t="s">
        <v>20</v>
      </c>
      <c r="C552" s="1">
        <v>44950</v>
      </c>
      <c r="D552" s="1">
        <v>44960</v>
      </c>
      <c r="E552" t="s">
        <v>21</v>
      </c>
      <c r="F552" t="s">
        <v>18</v>
      </c>
      <c r="G552">
        <v>1765</v>
      </c>
      <c r="H552">
        <v>81.010000000000005</v>
      </c>
      <c r="I552">
        <v>78.430000000000007</v>
      </c>
      <c r="J552">
        <v>78</v>
      </c>
      <c r="K552">
        <f t="shared" si="96"/>
        <v>1687</v>
      </c>
      <c r="L552" t="s">
        <v>15</v>
      </c>
      <c r="M552" s="1">
        <f t="shared" si="97"/>
        <v>44960</v>
      </c>
      <c r="N552" t="str">
        <f t="shared" ca="1" si="98"/>
        <v>Net 45</v>
      </c>
      <c r="O552">
        <f t="shared" ca="1" si="99"/>
        <v>45</v>
      </c>
      <c r="P552" s="1">
        <f t="shared" ca="1" si="100"/>
        <v>45005</v>
      </c>
      <c r="Q552" s="1">
        <f t="shared" ca="1" si="101"/>
        <v>45006</v>
      </c>
      <c r="R552">
        <f t="shared" ca="1" si="102"/>
        <v>46</v>
      </c>
      <c r="S552" t="str">
        <f t="shared" ca="1" si="103"/>
        <v>Late</v>
      </c>
      <c r="T552" t="str">
        <f t="shared" ca="1" si="104"/>
        <v>31-60</v>
      </c>
      <c r="U552">
        <f t="shared" ca="1" si="105"/>
        <v>1</v>
      </c>
      <c r="V552" t="str">
        <f t="shared" ca="1" si="106"/>
        <v>Inefficient</v>
      </c>
      <c r="W552">
        <f t="shared" si="107"/>
        <v>138428.95000000001</v>
      </c>
    </row>
    <row r="553" spans="1:23" x14ac:dyDescent="0.35">
      <c r="A553" t="s">
        <v>578</v>
      </c>
      <c r="B553" t="s">
        <v>23</v>
      </c>
      <c r="C553" s="1">
        <v>45255</v>
      </c>
      <c r="D553" s="1">
        <v>45269</v>
      </c>
      <c r="E553" t="s">
        <v>21</v>
      </c>
      <c r="F553" t="s">
        <v>18</v>
      </c>
      <c r="G553">
        <v>731</v>
      </c>
      <c r="H553">
        <v>19.37</v>
      </c>
      <c r="I553">
        <v>17.3</v>
      </c>
      <c r="J553">
        <v>69</v>
      </c>
      <c r="K553">
        <f t="shared" si="96"/>
        <v>662</v>
      </c>
      <c r="L553" t="s">
        <v>27</v>
      </c>
      <c r="M553" s="1">
        <f t="shared" si="97"/>
        <v>45269</v>
      </c>
      <c r="N553" t="str">
        <f t="shared" ca="1" si="98"/>
        <v>Net 45</v>
      </c>
      <c r="O553">
        <f t="shared" ca="1" si="99"/>
        <v>45</v>
      </c>
      <c r="P553" s="1">
        <f t="shared" ca="1" si="100"/>
        <v>45314</v>
      </c>
      <c r="Q553" s="1">
        <f t="shared" ca="1" si="101"/>
        <v>45327</v>
      </c>
      <c r="R553">
        <f t="shared" ca="1" si="102"/>
        <v>58</v>
      </c>
      <c r="S553" t="str">
        <f t="shared" ca="1" si="103"/>
        <v>Late</v>
      </c>
      <c r="T553" t="str">
        <f t="shared" ca="1" si="104"/>
        <v>31-60</v>
      </c>
      <c r="U553">
        <f t="shared" ca="1" si="105"/>
        <v>13</v>
      </c>
      <c r="V553" t="str">
        <f t="shared" ca="1" si="106"/>
        <v>Inefficient</v>
      </c>
      <c r="W553">
        <f t="shared" si="107"/>
        <v>12646.300000000001</v>
      </c>
    </row>
    <row r="554" spans="1:23" x14ac:dyDescent="0.35">
      <c r="A554" t="s">
        <v>579</v>
      </c>
      <c r="B554" t="s">
        <v>29</v>
      </c>
      <c r="C554" s="1">
        <v>44740</v>
      </c>
      <c r="D554" s="1">
        <v>44755</v>
      </c>
      <c r="E554" t="s">
        <v>21</v>
      </c>
      <c r="F554" t="s">
        <v>18</v>
      </c>
      <c r="G554">
        <v>887</v>
      </c>
      <c r="H554">
        <v>65.89</v>
      </c>
      <c r="I554">
        <v>59.67</v>
      </c>
      <c r="J554">
        <v>29</v>
      </c>
      <c r="K554">
        <f t="shared" si="96"/>
        <v>858</v>
      </c>
      <c r="L554" t="s">
        <v>15</v>
      </c>
      <c r="M554" s="1">
        <f t="shared" si="97"/>
        <v>44755</v>
      </c>
      <c r="N554" t="str">
        <f t="shared" ca="1" si="98"/>
        <v>Net 45</v>
      </c>
      <c r="O554">
        <f t="shared" ca="1" si="99"/>
        <v>45</v>
      </c>
      <c r="P554" s="1">
        <f t="shared" ca="1" si="100"/>
        <v>44800</v>
      </c>
      <c r="Q554" s="1">
        <f t="shared" ca="1" si="101"/>
        <v>44807</v>
      </c>
      <c r="R554">
        <f t="shared" ca="1" si="102"/>
        <v>52</v>
      </c>
      <c r="S554" t="str">
        <f t="shared" ca="1" si="103"/>
        <v>Late</v>
      </c>
      <c r="T554" t="str">
        <f t="shared" ca="1" si="104"/>
        <v>31-60</v>
      </c>
      <c r="U554">
        <f t="shared" ca="1" si="105"/>
        <v>7</v>
      </c>
      <c r="V554" t="str">
        <f t="shared" ca="1" si="106"/>
        <v>Inefficient</v>
      </c>
      <c r="W554">
        <f t="shared" si="107"/>
        <v>52927.29</v>
      </c>
    </row>
    <row r="555" spans="1:23" x14ac:dyDescent="0.35">
      <c r="A555" t="s">
        <v>580</v>
      </c>
      <c r="B555" t="s">
        <v>12</v>
      </c>
      <c r="C555" s="1">
        <v>45192</v>
      </c>
      <c r="D555" s="1">
        <v>45194</v>
      </c>
      <c r="E555" t="s">
        <v>21</v>
      </c>
      <c r="F555" t="s">
        <v>18</v>
      </c>
      <c r="G555">
        <v>1856</v>
      </c>
      <c r="H555">
        <v>35.29</v>
      </c>
      <c r="I555">
        <v>32.409999999999997</v>
      </c>
      <c r="J555">
        <v>26</v>
      </c>
      <c r="K555">
        <f t="shared" si="96"/>
        <v>1830</v>
      </c>
      <c r="L555" t="s">
        <v>15</v>
      </c>
      <c r="M555" s="1">
        <f t="shared" si="97"/>
        <v>45194</v>
      </c>
      <c r="N555" t="str">
        <f t="shared" ca="1" si="98"/>
        <v>Net 15</v>
      </c>
      <c r="O555">
        <f t="shared" ca="1" si="99"/>
        <v>15</v>
      </c>
      <c r="P555" s="1">
        <f t="shared" ca="1" si="100"/>
        <v>45209</v>
      </c>
      <c r="Q555" s="1">
        <f t="shared" ca="1" si="101"/>
        <v>45208</v>
      </c>
      <c r="R555">
        <f t="shared" ca="1" si="102"/>
        <v>14</v>
      </c>
      <c r="S555" t="str">
        <f t="shared" ca="1" si="103"/>
        <v>On Time</v>
      </c>
      <c r="T555" t="str">
        <f t="shared" ca="1" si="104"/>
        <v>0-30</v>
      </c>
      <c r="U555">
        <f t="shared" ca="1" si="105"/>
        <v>0</v>
      </c>
      <c r="V555" t="str">
        <f t="shared" ca="1" si="106"/>
        <v>Efficient</v>
      </c>
      <c r="W555">
        <f t="shared" si="107"/>
        <v>60152.959999999992</v>
      </c>
    </row>
    <row r="556" spans="1:23" x14ac:dyDescent="0.35">
      <c r="A556" t="s">
        <v>581</v>
      </c>
      <c r="B556" t="s">
        <v>29</v>
      </c>
      <c r="C556" s="1">
        <v>45144</v>
      </c>
      <c r="D556" s="1">
        <v>45156</v>
      </c>
      <c r="E556" t="s">
        <v>13</v>
      </c>
      <c r="F556" t="s">
        <v>18</v>
      </c>
      <c r="G556">
        <v>1127</v>
      </c>
      <c r="H556">
        <v>49.32</v>
      </c>
      <c r="I556">
        <v>46.49</v>
      </c>
      <c r="J556">
        <v>30</v>
      </c>
      <c r="K556">
        <f t="shared" si="96"/>
        <v>1097</v>
      </c>
      <c r="L556" t="s">
        <v>15</v>
      </c>
      <c r="M556" s="1">
        <f t="shared" si="97"/>
        <v>45156</v>
      </c>
      <c r="N556" t="str">
        <f t="shared" ca="1" si="98"/>
        <v>Net 30</v>
      </c>
      <c r="O556">
        <f t="shared" ca="1" si="99"/>
        <v>30</v>
      </c>
      <c r="P556" s="1">
        <f t="shared" ca="1" si="100"/>
        <v>45186</v>
      </c>
      <c r="Q556" s="1">
        <f t="shared" ca="1" si="101"/>
        <v>45203</v>
      </c>
      <c r="R556">
        <f t="shared" ca="1" si="102"/>
        <v>47</v>
      </c>
      <c r="S556" t="str">
        <f t="shared" ca="1" si="103"/>
        <v>Late</v>
      </c>
      <c r="T556" t="str">
        <f t="shared" ca="1" si="104"/>
        <v>31-60</v>
      </c>
      <c r="U556">
        <f t="shared" ca="1" si="105"/>
        <v>17</v>
      </c>
      <c r="V556" t="str">
        <f t="shared" ca="1" si="106"/>
        <v>Inefficient</v>
      </c>
      <c r="W556">
        <f t="shared" si="107"/>
        <v>52394.23</v>
      </c>
    </row>
    <row r="557" spans="1:23" x14ac:dyDescent="0.35">
      <c r="A557" t="s">
        <v>582</v>
      </c>
      <c r="B557" t="s">
        <v>17</v>
      </c>
      <c r="C557" s="1">
        <v>44870</v>
      </c>
      <c r="D557" s="1">
        <v>44884</v>
      </c>
      <c r="E557" t="s">
        <v>26</v>
      </c>
      <c r="F557" t="s">
        <v>18</v>
      </c>
      <c r="G557">
        <v>1052</v>
      </c>
      <c r="H557">
        <v>37.78</v>
      </c>
      <c r="I557">
        <v>32.6</v>
      </c>
      <c r="J557">
        <v>162</v>
      </c>
      <c r="K557">
        <f t="shared" si="96"/>
        <v>890</v>
      </c>
      <c r="L557" t="s">
        <v>15</v>
      </c>
      <c r="M557" s="1">
        <f t="shared" si="97"/>
        <v>44884</v>
      </c>
      <c r="N557" t="str">
        <f t="shared" ca="1" si="98"/>
        <v>Net 30</v>
      </c>
      <c r="O557">
        <f t="shared" ca="1" si="99"/>
        <v>30</v>
      </c>
      <c r="P557" s="1">
        <f t="shared" ca="1" si="100"/>
        <v>44914</v>
      </c>
      <c r="Q557" s="1">
        <f t="shared" ca="1" si="101"/>
        <v>44914</v>
      </c>
      <c r="R557">
        <f t="shared" ca="1" si="102"/>
        <v>30</v>
      </c>
      <c r="S557" t="str">
        <f t="shared" ca="1" si="103"/>
        <v>On Time</v>
      </c>
      <c r="T557" t="str">
        <f t="shared" ca="1" si="104"/>
        <v>0-30</v>
      </c>
      <c r="U557">
        <f t="shared" ca="1" si="105"/>
        <v>0</v>
      </c>
      <c r="V557" t="str">
        <f t="shared" ca="1" si="106"/>
        <v>Efficient</v>
      </c>
      <c r="W557">
        <f t="shared" si="107"/>
        <v>34295.200000000004</v>
      </c>
    </row>
    <row r="558" spans="1:23" x14ac:dyDescent="0.35">
      <c r="A558" t="s">
        <v>583</v>
      </c>
      <c r="B558" t="s">
        <v>20</v>
      </c>
      <c r="C558" s="1">
        <v>44977</v>
      </c>
      <c r="D558" s="1">
        <v>44979</v>
      </c>
      <c r="E558" t="s">
        <v>26</v>
      </c>
      <c r="F558" t="s">
        <v>18</v>
      </c>
      <c r="G558">
        <v>493</v>
      </c>
      <c r="H558">
        <v>44.74</v>
      </c>
      <c r="I558">
        <v>41.44</v>
      </c>
      <c r="J558">
        <v>24</v>
      </c>
      <c r="K558">
        <f t="shared" si="96"/>
        <v>469</v>
      </c>
      <c r="L558" t="s">
        <v>27</v>
      </c>
      <c r="M558" s="1">
        <f t="shared" si="97"/>
        <v>44979</v>
      </c>
      <c r="N558" t="str">
        <f t="shared" ca="1" si="98"/>
        <v>Net 45</v>
      </c>
      <c r="O558">
        <f t="shared" ca="1" si="99"/>
        <v>45</v>
      </c>
      <c r="P558" s="1">
        <f t="shared" ca="1" si="100"/>
        <v>45024</v>
      </c>
      <c r="Q558" s="1">
        <f t="shared" ca="1" si="101"/>
        <v>45026</v>
      </c>
      <c r="R558">
        <f t="shared" ca="1" si="102"/>
        <v>47</v>
      </c>
      <c r="S558" t="str">
        <f t="shared" ca="1" si="103"/>
        <v>Late</v>
      </c>
      <c r="T558" t="str">
        <f t="shared" ca="1" si="104"/>
        <v>31-60</v>
      </c>
      <c r="U558">
        <f t="shared" ca="1" si="105"/>
        <v>2</v>
      </c>
      <c r="V558" t="str">
        <f t="shared" ca="1" si="106"/>
        <v>Inefficient</v>
      </c>
      <c r="W558">
        <f t="shared" si="107"/>
        <v>20429.919999999998</v>
      </c>
    </row>
    <row r="559" spans="1:23" x14ac:dyDescent="0.35">
      <c r="A559" t="s">
        <v>584</v>
      </c>
      <c r="B559" t="s">
        <v>17</v>
      </c>
      <c r="C559" s="1">
        <v>45123</v>
      </c>
      <c r="D559" s="1">
        <v>45136</v>
      </c>
      <c r="E559" t="s">
        <v>21</v>
      </c>
      <c r="F559" t="s">
        <v>33</v>
      </c>
      <c r="G559">
        <v>662</v>
      </c>
      <c r="H559">
        <v>81.44</v>
      </c>
      <c r="I559">
        <v>71.33</v>
      </c>
      <c r="J559">
        <v>87</v>
      </c>
      <c r="K559">
        <f t="shared" si="96"/>
        <v>575</v>
      </c>
      <c r="L559" t="s">
        <v>15</v>
      </c>
      <c r="M559" s="1">
        <f t="shared" si="97"/>
        <v>45136</v>
      </c>
      <c r="N559" t="str">
        <f t="shared" ca="1" si="98"/>
        <v>Net 30</v>
      </c>
      <c r="O559">
        <f t="shared" ca="1" si="99"/>
        <v>30</v>
      </c>
      <c r="P559" s="1">
        <f t="shared" ca="1" si="100"/>
        <v>45166</v>
      </c>
      <c r="Q559" s="1">
        <f t="shared" ca="1" si="101"/>
        <v>45176</v>
      </c>
      <c r="R559">
        <f t="shared" ca="1" si="102"/>
        <v>40</v>
      </c>
      <c r="S559" t="str">
        <f t="shared" ca="1" si="103"/>
        <v>Late</v>
      </c>
      <c r="T559" t="str">
        <f t="shared" ca="1" si="104"/>
        <v>31-60</v>
      </c>
      <c r="U559">
        <f t="shared" ca="1" si="105"/>
        <v>10</v>
      </c>
      <c r="V559" t="str">
        <f t="shared" ca="1" si="106"/>
        <v>Inefficient</v>
      </c>
      <c r="W559">
        <f t="shared" si="107"/>
        <v>47220.46</v>
      </c>
    </row>
    <row r="560" spans="1:23" x14ac:dyDescent="0.35">
      <c r="A560" t="s">
        <v>585</v>
      </c>
      <c r="B560" t="s">
        <v>12</v>
      </c>
      <c r="C560" s="1">
        <v>44562</v>
      </c>
      <c r="D560" s="1">
        <v>44568</v>
      </c>
      <c r="E560" t="s">
        <v>26</v>
      </c>
      <c r="F560" t="s">
        <v>18</v>
      </c>
      <c r="G560">
        <v>1042</v>
      </c>
      <c r="H560">
        <v>36.74</v>
      </c>
      <c r="I560">
        <v>35.78</v>
      </c>
      <c r="J560">
        <v>33</v>
      </c>
      <c r="K560">
        <f t="shared" si="96"/>
        <v>1009</v>
      </c>
      <c r="L560" t="s">
        <v>15</v>
      </c>
      <c r="M560" s="1">
        <f t="shared" si="97"/>
        <v>44568</v>
      </c>
      <c r="N560" t="str">
        <f t="shared" ca="1" si="98"/>
        <v>Net 15</v>
      </c>
      <c r="O560">
        <f t="shared" ca="1" si="99"/>
        <v>15</v>
      </c>
      <c r="P560" s="1">
        <f t="shared" ca="1" si="100"/>
        <v>44583</v>
      </c>
      <c r="Q560" s="1">
        <f t="shared" ca="1" si="101"/>
        <v>44603</v>
      </c>
      <c r="R560">
        <f t="shared" ca="1" si="102"/>
        <v>35</v>
      </c>
      <c r="S560" t="str">
        <f t="shared" ca="1" si="103"/>
        <v>Late</v>
      </c>
      <c r="T560" t="str">
        <f t="shared" ca="1" si="104"/>
        <v>31-60</v>
      </c>
      <c r="U560">
        <f t="shared" ca="1" si="105"/>
        <v>20</v>
      </c>
      <c r="V560" t="str">
        <f t="shared" ca="1" si="106"/>
        <v>Inefficient</v>
      </c>
      <c r="W560">
        <f t="shared" si="107"/>
        <v>37282.76</v>
      </c>
    </row>
    <row r="561" spans="1:23" x14ac:dyDescent="0.35">
      <c r="A561" t="s">
        <v>586</v>
      </c>
      <c r="B561" t="s">
        <v>12</v>
      </c>
      <c r="C561" s="1">
        <v>44873</v>
      </c>
      <c r="E561" t="s">
        <v>26</v>
      </c>
      <c r="F561" t="s">
        <v>18</v>
      </c>
      <c r="G561">
        <v>313</v>
      </c>
      <c r="H561">
        <v>64.03</v>
      </c>
      <c r="I561">
        <v>57.74</v>
      </c>
      <c r="J561">
        <v>1</v>
      </c>
      <c r="K561">
        <f t="shared" si="96"/>
        <v>312</v>
      </c>
      <c r="L561" t="s">
        <v>15</v>
      </c>
      <c r="M561" s="1">
        <f t="shared" si="97"/>
        <v>0</v>
      </c>
      <c r="N561" t="str">
        <f t="shared" ca="1" si="98"/>
        <v>Net 15</v>
      </c>
      <c r="O561">
        <f t="shared" ca="1" si="99"/>
        <v>15</v>
      </c>
      <c r="P561" s="1">
        <f t="shared" ca="1" si="100"/>
        <v>15</v>
      </c>
      <c r="Q561" s="1">
        <f t="shared" ca="1" si="101"/>
        <v>31</v>
      </c>
      <c r="R561">
        <f t="shared" ca="1" si="102"/>
        <v>31</v>
      </c>
      <c r="S561" t="str">
        <f t="shared" ca="1" si="103"/>
        <v>Late</v>
      </c>
      <c r="T561" t="str">
        <f t="shared" ca="1" si="104"/>
        <v>31-60</v>
      </c>
      <c r="U561">
        <f t="shared" ca="1" si="105"/>
        <v>16</v>
      </c>
      <c r="V561" t="str">
        <f t="shared" ca="1" si="106"/>
        <v>Inefficient</v>
      </c>
      <c r="W561">
        <f t="shared" si="107"/>
        <v>18072.62</v>
      </c>
    </row>
    <row r="562" spans="1:23" x14ac:dyDescent="0.35">
      <c r="A562" t="s">
        <v>587</v>
      </c>
      <c r="B562" t="s">
        <v>12</v>
      </c>
      <c r="C562" s="1">
        <v>44855</v>
      </c>
      <c r="D562" s="1">
        <v>44875</v>
      </c>
      <c r="E562" t="s">
        <v>13</v>
      </c>
      <c r="F562" t="s">
        <v>18</v>
      </c>
      <c r="G562">
        <v>1126</v>
      </c>
      <c r="H562">
        <v>55.22</v>
      </c>
      <c r="I562">
        <v>50.38</v>
      </c>
      <c r="K562">
        <f t="shared" si="96"/>
        <v>1126</v>
      </c>
      <c r="L562" t="s">
        <v>15</v>
      </c>
      <c r="M562" s="1">
        <f t="shared" si="97"/>
        <v>44875</v>
      </c>
      <c r="N562" t="str">
        <f t="shared" ca="1" si="98"/>
        <v>Net 15</v>
      </c>
      <c r="O562">
        <f t="shared" ca="1" si="99"/>
        <v>15</v>
      </c>
      <c r="P562" s="1">
        <f t="shared" ca="1" si="100"/>
        <v>44890</v>
      </c>
      <c r="Q562" s="1">
        <f t="shared" ca="1" si="101"/>
        <v>44905</v>
      </c>
      <c r="R562">
        <f t="shared" ca="1" si="102"/>
        <v>30</v>
      </c>
      <c r="S562" t="str">
        <f t="shared" ca="1" si="103"/>
        <v>Late</v>
      </c>
      <c r="T562" t="str">
        <f t="shared" ca="1" si="104"/>
        <v>0-30</v>
      </c>
      <c r="U562">
        <f t="shared" ca="1" si="105"/>
        <v>15</v>
      </c>
      <c r="V562" t="str">
        <f t="shared" ca="1" si="106"/>
        <v>Inefficient</v>
      </c>
      <c r="W562">
        <f t="shared" si="107"/>
        <v>56727.880000000005</v>
      </c>
    </row>
    <row r="563" spans="1:23" x14ac:dyDescent="0.35">
      <c r="A563" t="s">
        <v>588</v>
      </c>
      <c r="B563" t="s">
        <v>20</v>
      </c>
      <c r="C563" s="1">
        <v>44777</v>
      </c>
      <c r="D563" s="1">
        <v>44792</v>
      </c>
      <c r="E563" t="s">
        <v>21</v>
      </c>
      <c r="F563" t="s">
        <v>18</v>
      </c>
      <c r="G563">
        <v>1645</v>
      </c>
      <c r="H563">
        <v>72.17</v>
      </c>
      <c r="I563">
        <v>64</v>
      </c>
      <c r="J563">
        <v>79</v>
      </c>
      <c r="K563">
        <f t="shared" si="96"/>
        <v>1566</v>
      </c>
      <c r="L563" t="s">
        <v>15</v>
      </c>
      <c r="M563" s="1">
        <f t="shared" si="97"/>
        <v>44792</v>
      </c>
      <c r="N563" t="str">
        <f t="shared" ca="1" si="98"/>
        <v>Net 45</v>
      </c>
      <c r="O563">
        <f t="shared" ca="1" si="99"/>
        <v>45</v>
      </c>
      <c r="P563" s="1">
        <f t="shared" ca="1" si="100"/>
        <v>44837</v>
      </c>
      <c r="Q563" s="1">
        <f t="shared" ca="1" si="101"/>
        <v>44837</v>
      </c>
      <c r="R563">
        <f t="shared" ca="1" si="102"/>
        <v>45</v>
      </c>
      <c r="S563" t="str">
        <f t="shared" ca="1" si="103"/>
        <v>On Time</v>
      </c>
      <c r="T563" t="str">
        <f t="shared" ca="1" si="104"/>
        <v>31-60</v>
      </c>
      <c r="U563">
        <f t="shared" ca="1" si="105"/>
        <v>0</v>
      </c>
      <c r="V563" t="str">
        <f t="shared" ca="1" si="106"/>
        <v>Efficient</v>
      </c>
      <c r="W563">
        <f t="shared" si="107"/>
        <v>105280</v>
      </c>
    </row>
    <row r="564" spans="1:23" x14ac:dyDescent="0.35">
      <c r="A564" t="s">
        <v>589</v>
      </c>
      <c r="B564" t="s">
        <v>23</v>
      </c>
      <c r="C564" s="1">
        <v>45002</v>
      </c>
      <c r="D564" s="1">
        <v>45005</v>
      </c>
      <c r="E564" t="s">
        <v>24</v>
      </c>
      <c r="F564" t="s">
        <v>18</v>
      </c>
      <c r="G564">
        <v>1053</v>
      </c>
      <c r="H564">
        <v>100.92</v>
      </c>
      <c r="I564">
        <v>92.35</v>
      </c>
      <c r="J564">
        <v>104</v>
      </c>
      <c r="K564">
        <f t="shared" si="96"/>
        <v>949</v>
      </c>
      <c r="L564" t="s">
        <v>15</v>
      </c>
      <c r="M564" s="1">
        <f t="shared" si="97"/>
        <v>45005</v>
      </c>
      <c r="N564" t="str">
        <f t="shared" ca="1" si="98"/>
        <v>Net 15</v>
      </c>
      <c r="O564">
        <f t="shared" ca="1" si="99"/>
        <v>15</v>
      </c>
      <c r="P564" s="1">
        <f t="shared" ca="1" si="100"/>
        <v>45020</v>
      </c>
      <c r="Q564" s="1">
        <f t="shared" ca="1" si="101"/>
        <v>45032</v>
      </c>
      <c r="R564">
        <f t="shared" ca="1" si="102"/>
        <v>27</v>
      </c>
      <c r="S564" t="str">
        <f t="shared" ca="1" si="103"/>
        <v>Late</v>
      </c>
      <c r="T564" t="str">
        <f t="shared" ca="1" si="104"/>
        <v>0-30</v>
      </c>
      <c r="U564">
        <f t="shared" ca="1" si="105"/>
        <v>12</v>
      </c>
      <c r="V564" t="str">
        <f t="shared" ca="1" si="106"/>
        <v>Inefficient</v>
      </c>
      <c r="W564">
        <f t="shared" si="107"/>
        <v>97244.549999999988</v>
      </c>
    </row>
    <row r="565" spans="1:23" x14ac:dyDescent="0.35">
      <c r="A565" t="s">
        <v>590</v>
      </c>
      <c r="B565" t="s">
        <v>29</v>
      </c>
      <c r="C565" s="1">
        <v>45155</v>
      </c>
      <c r="D565" s="1">
        <v>45167</v>
      </c>
      <c r="E565" t="s">
        <v>21</v>
      </c>
      <c r="F565" t="s">
        <v>18</v>
      </c>
      <c r="G565">
        <v>1693</v>
      </c>
      <c r="H565">
        <v>83.14</v>
      </c>
      <c r="I565">
        <v>73.3</v>
      </c>
      <c r="J565">
        <v>62</v>
      </c>
      <c r="K565">
        <f t="shared" si="96"/>
        <v>1631</v>
      </c>
      <c r="L565" t="s">
        <v>15</v>
      </c>
      <c r="M565" s="1">
        <f t="shared" si="97"/>
        <v>45167</v>
      </c>
      <c r="N565" t="str">
        <f t="shared" ca="1" si="98"/>
        <v>Net 45</v>
      </c>
      <c r="O565">
        <f t="shared" ca="1" si="99"/>
        <v>45</v>
      </c>
      <c r="P565" s="1">
        <f t="shared" ca="1" si="100"/>
        <v>45212</v>
      </c>
      <c r="Q565" s="1">
        <f t="shared" ca="1" si="101"/>
        <v>45226</v>
      </c>
      <c r="R565">
        <f t="shared" ca="1" si="102"/>
        <v>59</v>
      </c>
      <c r="S565" t="str">
        <f t="shared" ca="1" si="103"/>
        <v>Late</v>
      </c>
      <c r="T565" t="str">
        <f t="shared" ca="1" si="104"/>
        <v>31-60</v>
      </c>
      <c r="U565">
        <f t="shared" ca="1" si="105"/>
        <v>14</v>
      </c>
      <c r="V565" t="str">
        <f t="shared" ca="1" si="106"/>
        <v>Inefficient</v>
      </c>
      <c r="W565">
        <f t="shared" si="107"/>
        <v>124096.9</v>
      </c>
    </row>
    <row r="566" spans="1:23" x14ac:dyDescent="0.35">
      <c r="A566" t="s">
        <v>591</v>
      </c>
      <c r="B566" t="s">
        <v>29</v>
      </c>
      <c r="C566" s="1">
        <v>45183</v>
      </c>
      <c r="D566" s="1">
        <v>45202</v>
      </c>
      <c r="E566" t="s">
        <v>26</v>
      </c>
      <c r="F566" t="s">
        <v>35</v>
      </c>
      <c r="G566">
        <v>54</v>
      </c>
      <c r="H566">
        <v>32.28</v>
      </c>
      <c r="I566">
        <v>28.65</v>
      </c>
      <c r="J566">
        <v>3</v>
      </c>
      <c r="K566">
        <f t="shared" si="96"/>
        <v>51</v>
      </c>
      <c r="L566" t="s">
        <v>15</v>
      </c>
      <c r="M566" s="1">
        <f t="shared" si="97"/>
        <v>45202</v>
      </c>
      <c r="N566" t="str">
        <f t="shared" ca="1" si="98"/>
        <v>Net 30</v>
      </c>
      <c r="O566">
        <f t="shared" ca="1" si="99"/>
        <v>30</v>
      </c>
      <c r="P566" s="1">
        <f t="shared" ca="1" si="100"/>
        <v>45232</v>
      </c>
      <c r="Q566" s="1">
        <f t="shared" ca="1" si="101"/>
        <v>45231</v>
      </c>
      <c r="R566">
        <f t="shared" ca="1" si="102"/>
        <v>29</v>
      </c>
      <c r="S566" t="str">
        <f t="shared" ca="1" si="103"/>
        <v>On Time</v>
      </c>
      <c r="T566" t="str">
        <f t="shared" ca="1" si="104"/>
        <v>0-30</v>
      </c>
      <c r="U566">
        <f t="shared" ca="1" si="105"/>
        <v>0</v>
      </c>
      <c r="V566" t="str">
        <f t="shared" ca="1" si="106"/>
        <v>Efficient</v>
      </c>
      <c r="W566">
        <f t="shared" si="107"/>
        <v>1547.1</v>
      </c>
    </row>
    <row r="567" spans="1:23" x14ac:dyDescent="0.35">
      <c r="A567" t="s">
        <v>592</v>
      </c>
      <c r="B567" t="s">
        <v>29</v>
      </c>
      <c r="C567" s="1">
        <v>45232</v>
      </c>
      <c r="D567" s="1">
        <v>45237</v>
      </c>
      <c r="E567" t="s">
        <v>24</v>
      </c>
      <c r="F567" t="s">
        <v>18</v>
      </c>
      <c r="G567">
        <v>1176</v>
      </c>
      <c r="H567">
        <v>14.22</v>
      </c>
      <c r="I567">
        <v>12.21</v>
      </c>
      <c r="J567">
        <v>33</v>
      </c>
      <c r="K567">
        <f t="shared" si="96"/>
        <v>1143</v>
      </c>
      <c r="L567" t="s">
        <v>15</v>
      </c>
      <c r="M567" s="1">
        <f t="shared" si="97"/>
        <v>45237</v>
      </c>
      <c r="N567" t="str">
        <f t="shared" ca="1" si="98"/>
        <v>Net 15</v>
      </c>
      <c r="O567">
        <f t="shared" ca="1" si="99"/>
        <v>15</v>
      </c>
      <c r="P567" s="1">
        <f t="shared" ca="1" si="100"/>
        <v>45252</v>
      </c>
      <c r="Q567" s="1">
        <f t="shared" ca="1" si="101"/>
        <v>45267</v>
      </c>
      <c r="R567">
        <f t="shared" ca="1" si="102"/>
        <v>30</v>
      </c>
      <c r="S567" t="str">
        <f t="shared" ca="1" si="103"/>
        <v>Late</v>
      </c>
      <c r="T567" t="str">
        <f t="shared" ca="1" si="104"/>
        <v>0-30</v>
      </c>
      <c r="U567">
        <f t="shared" ca="1" si="105"/>
        <v>15</v>
      </c>
      <c r="V567" t="str">
        <f t="shared" ca="1" si="106"/>
        <v>Inefficient</v>
      </c>
      <c r="W567">
        <f t="shared" si="107"/>
        <v>14358.960000000001</v>
      </c>
    </row>
    <row r="568" spans="1:23" x14ac:dyDescent="0.35">
      <c r="A568" t="s">
        <v>593</v>
      </c>
      <c r="B568" t="s">
        <v>29</v>
      </c>
      <c r="C568" s="1">
        <v>44891</v>
      </c>
      <c r="D568" s="1">
        <v>44903</v>
      </c>
      <c r="E568" t="s">
        <v>26</v>
      </c>
      <c r="F568" t="s">
        <v>18</v>
      </c>
      <c r="G568">
        <v>1269</v>
      </c>
      <c r="H568">
        <v>35.28</v>
      </c>
      <c r="I568">
        <v>33.700000000000003</v>
      </c>
      <c r="J568">
        <v>35</v>
      </c>
      <c r="K568">
        <f t="shared" si="96"/>
        <v>1234</v>
      </c>
      <c r="L568" t="s">
        <v>15</v>
      </c>
      <c r="M568" s="1">
        <f t="shared" si="97"/>
        <v>44903</v>
      </c>
      <c r="N568" t="str">
        <f t="shared" ca="1" si="98"/>
        <v>Net 45</v>
      </c>
      <c r="O568">
        <f t="shared" ca="1" si="99"/>
        <v>45</v>
      </c>
      <c r="P568" s="1">
        <f t="shared" ca="1" si="100"/>
        <v>44948</v>
      </c>
      <c r="Q568" s="1">
        <f t="shared" ca="1" si="101"/>
        <v>44949</v>
      </c>
      <c r="R568">
        <f t="shared" ca="1" si="102"/>
        <v>46</v>
      </c>
      <c r="S568" t="str">
        <f t="shared" ca="1" si="103"/>
        <v>Late</v>
      </c>
      <c r="T568" t="str">
        <f t="shared" ca="1" si="104"/>
        <v>31-60</v>
      </c>
      <c r="U568">
        <f t="shared" ca="1" si="105"/>
        <v>1</v>
      </c>
      <c r="V568" t="str">
        <f t="shared" ca="1" si="106"/>
        <v>Inefficient</v>
      </c>
      <c r="W568">
        <f t="shared" si="107"/>
        <v>42765.3</v>
      </c>
    </row>
    <row r="569" spans="1:23" x14ac:dyDescent="0.35">
      <c r="A569" t="s">
        <v>594</v>
      </c>
      <c r="B569" t="s">
        <v>29</v>
      </c>
      <c r="C569" s="1">
        <v>45038</v>
      </c>
      <c r="D569" s="1">
        <v>45041</v>
      </c>
      <c r="E569" t="s">
        <v>26</v>
      </c>
      <c r="F569" t="s">
        <v>18</v>
      </c>
      <c r="G569">
        <v>823</v>
      </c>
      <c r="H569">
        <v>68.319999999999993</v>
      </c>
      <c r="I569">
        <v>64.459999999999994</v>
      </c>
      <c r="J569">
        <v>19</v>
      </c>
      <c r="K569">
        <f t="shared" si="96"/>
        <v>804</v>
      </c>
      <c r="L569" t="s">
        <v>15</v>
      </c>
      <c r="M569" s="1">
        <f t="shared" si="97"/>
        <v>45041</v>
      </c>
      <c r="N569" t="str">
        <f t="shared" ca="1" si="98"/>
        <v>Net 45</v>
      </c>
      <c r="O569">
        <f t="shared" ca="1" si="99"/>
        <v>45</v>
      </c>
      <c r="P569" s="1">
        <f t="shared" ca="1" si="100"/>
        <v>45086</v>
      </c>
      <c r="Q569" s="1">
        <f t="shared" ca="1" si="101"/>
        <v>45104</v>
      </c>
      <c r="R569">
        <f t="shared" ca="1" si="102"/>
        <v>63</v>
      </c>
      <c r="S569" t="str">
        <f t="shared" ca="1" si="103"/>
        <v>Late</v>
      </c>
      <c r="T569" t="str">
        <f t="shared" ca="1" si="104"/>
        <v>61-90</v>
      </c>
      <c r="U569">
        <f t="shared" ca="1" si="105"/>
        <v>18</v>
      </c>
      <c r="V569" t="str">
        <f t="shared" ca="1" si="106"/>
        <v>Inefficient</v>
      </c>
      <c r="W569">
        <f t="shared" si="107"/>
        <v>53050.579999999994</v>
      </c>
    </row>
    <row r="570" spans="1:23" x14ac:dyDescent="0.35">
      <c r="A570" t="s">
        <v>595</v>
      </c>
      <c r="B570" t="s">
        <v>23</v>
      </c>
      <c r="C570" s="1">
        <v>45014</v>
      </c>
      <c r="D570" s="1">
        <v>45031</v>
      </c>
      <c r="E570" t="s">
        <v>39</v>
      </c>
      <c r="F570" t="s">
        <v>18</v>
      </c>
      <c r="G570">
        <v>926</v>
      </c>
      <c r="H570">
        <v>15.65</v>
      </c>
      <c r="I570">
        <v>13.49</v>
      </c>
      <c r="J570">
        <v>94</v>
      </c>
      <c r="K570">
        <f t="shared" si="96"/>
        <v>832</v>
      </c>
      <c r="L570" t="s">
        <v>27</v>
      </c>
      <c r="M570" s="1">
        <f t="shared" si="97"/>
        <v>45031</v>
      </c>
      <c r="N570" t="str">
        <f t="shared" ca="1" si="98"/>
        <v>Net 45</v>
      </c>
      <c r="O570">
        <f t="shared" ca="1" si="99"/>
        <v>45</v>
      </c>
      <c r="P570" s="1">
        <f t="shared" ca="1" si="100"/>
        <v>45076</v>
      </c>
      <c r="Q570" s="1">
        <f t="shared" ca="1" si="101"/>
        <v>45082</v>
      </c>
      <c r="R570">
        <f t="shared" ca="1" si="102"/>
        <v>51</v>
      </c>
      <c r="S570" t="str">
        <f t="shared" ca="1" si="103"/>
        <v>Late</v>
      </c>
      <c r="T570" t="str">
        <f t="shared" ca="1" si="104"/>
        <v>31-60</v>
      </c>
      <c r="U570">
        <f t="shared" ca="1" si="105"/>
        <v>6</v>
      </c>
      <c r="V570" t="str">
        <f t="shared" ca="1" si="106"/>
        <v>Inefficient</v>
      </c>
      <c r="W570">
        <f t="shared" si="107"/>
        <v>12491.74</v>
      </c>
    </row>
    <row r="571" spans="1:23" x14ac:dyDescent="0.35">
      <c r="A571" t="s">
        <v>596</v>
      </c>
      <c r="B571" t="s">
        <v>17</v>
      </c>
      <c r="C571" s="1">
        <v>45014</v>
      </c>
      <c r="D571" s="1">
        <v>45025</v>
      </c>
      <c r="E571" t="s">
        <v>39</v>
      </c>
      <c r="F571" t="s">
        <v>14</v>
      </c>
      <c r="G571">
        <v>1041</v>
      </c>
      <c r="H571">
        <v>58.5</v>
      </c>
      <c r="I571">
        <v>52.54</v>
      </c>
      <c r="J571">
        <v>170</v>
      </c>
      <c r="K571">
        <f t="shared" si="96"/>
        <v>871</v>
      </c>
      <c r="L571" t="s">
        <v>27</v>
      </c>
      <c r="M571" s="1">
        <f t="shared" si="97"/>
        <v>45025</v>
      </c>
      <c r="N571" t="str">
        <f t="shared" ca="1" si="98"/>
        <v>Net 30</v>
      </c>
      <c r="O571">
        <f t="shared" ca="1" si="99"/>
        <v>30</v>
      </c>
      <c r="P571" s="1">
        <f t="shared" ca="1" si="100"/>
        <v>45055</v>
      </c>
      <c r="Q571" s="1">
        <f t="shared" ca="1" si="101"/>
        <v>45057</v>
      </c>
      <c r="R571">
        <f t="shared" ca="1" si="102"/>
        <v>32</v>
      </c>
      <c r="S571" t="str">
        <f t="shared" ca="1" si="103"/>
        <v>Late</v>
      </c>
      <c r="T571" t="str">
        <f t="shared" ca="1" si="104"/>
        <v>31-60</v>
      </c>
      <c r="U571">
        <f t="shared" ca="1" si="105"/>
        <v>2</v>
      </c>
      <c r="V571" t="str">
        <f t="shared" ca="1" si="106"/>
        <v>Inefficient</v>
      </c>
      <c r="W571">
        <f t="shared" si="107"/>
        <v>54694.14</v>
      </c>
    </row>
    <row r="572" spans="1:23" x14ac:dyDescent="0.35">
      <c r="A572" t="s">
        <v>597</v>
      </c>
      <c r="B572" t="s">
        <v>20</v>
      </c>
      <c r="C572" s="1">
        <v>45253</v>
      </c>
      <c r="D572" s="1">
        <v>45261</v>
      </c>
      <c r="E572" t="s">
        <v>39</v>
      </c>
      <c r="F572" t="s">
        <v>35</v>
      </c>
      <c r="G572">
        <v>933</v>
      </c>
      <c r="H572">
        <v>70.72</v>
      </c>
      <c r="I572">
        <v>65.47</v>
      </c>
      <c r="J572">
        <v>42</v>
      </c>
      <c r="K572">
        <f t="shared" si="96"/>
        <v>891</v>
      </c>
      <c r="L572" t="s">
        <v>15</v>
      </c>
      <c r="M572" s="1">
        <f t="shared" si="97"/>
        <v>45261</v>
      </c>
      <c r="N572" t="str">
        <f t="shared" ca="1" si="98"/>
        <v>Net 15</v>
      </c>
      <c r="O572">
        <f t="shared" ca="1" si="99"/>
        <v>15</v>
      </c>
      <c r="P572" s="1">
        <f t="shared" ca="1" si="100"/>
        <v>45276</v>
      </c>
      <c r="Q572" s="1">
        <f t="shared" ca="1" si="101"/>
        <v>45282</v>
      </c>
      <c r="R572">
        <f t="shared" ca="1" si="102"/>
        <v>21</v>
      </c>
      <c r="S572" t="str">
        <f t="shared" ca="1" si="103"/>
        <v>Late</v>
      </c>
      <c r="T572" t="str">
        <f t="shared" ca="1" si="104"/>
        <v>0-30</v>
      </c>
      <c r="U572">
        <f t="shared" ca="1" si="105"/>
        <v>6</v>
      </c>
      <c r="V572" t="str">
        <f t="shared" ca="1" si="106"/>
        <v>Inefficient</v>
      </c>
      <c r="W572">
        <f t="shared" si="107"/>
        <v>61083.51</v>
      </c>
    </row>
    <row r="573" spans="1:23" x14ac:dyDescent="0.35">
      <c r="A573" t="s">
        <v>598</v>
      </c>
      <c r="B573" t="s">
        <v>17</v>
      </c>
      <c r="C573" s="1">
        <v>44780</v>
      </c>
      <c r="E573" t="s">
        <v>26</v>
      </c>
      <c r="F573" t="s">
        <v>18</v>
      </c>
      <c r="G573">
        <v>1423</v>
      </c>
      <c r="H573">
        <v>41.48</v>
      </c>
      <c r="I573">
        <v>40.9</v>
      </c>
      <c r="J573">
        <v>199</v>
      </c>
      <c r="K573">
        <f t="shared" si="96"/>
        <v>1224</v>
      </c>
      <c r="L573" t="s">
        <v>15</v>
      </c>
      <c r="M573" s="1">
        <f t="shared" si="97"/>
        <v>0</v>
      </c>
      <c r="N573" t="str">
        <f t="shared" ca="1" si="98"/>
        <v>Net 45</v>
      </c>
      <c r="O573">
        <f t="shared" ca="1" si="99"/>
        <v>45</v>
      </c>
      <c r="P573" s="1">
        <f t="shared" ca="1" si="100"/>
        <v>45</v>
      </c>
      <c r="Q573" s="1">
        <f t="shared" ca="1" si="101"/>
        <v>45</v>
      </c>
      <c r="R573">
        <f t="shared" ca="1" si="102"/>
        <v>45</v>
      </c>
      <c r="S573" t="str">
        <f t="shared" ca="1" si="103"/>
        <v>On Time</v>
      </c>
      <c r="T573" t="str">
        <f t="shared" ca="1" si="104"/>
        <v>31-60</v>
      </c>
      <c r="U573">
        <f t="shared" ca="1" si="105"/>
        <v>0</v>
      </c>
      <c r="V573" t="str">
        <f t="shared" ca="1" si="106"/>
        <v>Efficient</v>
      </c>
      <c r="W573">
        <f t="shared" si="107"/>
        <v>58200.7</v>
      </c>
    </row>
    <row r="574" spans="1:23" x14ac:dyDescent="0.35">
      <c r="A574" t="s">
        <v>599</v>
      </c>
      <c r="B574" t="s">
        <v>17</v>
      </c>
      <c r="C574" s="1">
        <v>45085</v>
      </c>
      <c r="D574" s="1">
        <v>45091</v>
      </c>
      <c r="E574" t="s">
        <v>21</v>
      </c>
      <c r="F574" t="s">
        <v>18</v>
      </c>
      <c r="G574">
        <v>96</v>
      </c>
      <c r="H574">
        <v>86.13</v>
      </c>
      <c r="I574">
        <v>80.319999999999993</v>
      </c>
      <c r="J574">
        <v>12</v>
      </c>
      <c r="K574">
        <f t="shared" si="96"/>
        <v>84</v>
      </c>
      <c r="L574" t="s">
        <v>27</v>
      </c>
      <c r="M574" s="1">
        <f t="shared" si="97"/>
        <v>45091</v>
      </c>
      <c r="N574" t="str">
        <f t="shared" ca="1" si="98"/>
        <v>Net 15</v>
      </c>
      <c r="O574">
        <f t="shared" ca="1" si="99"/>
        <v>15</v>
      </c>
      <c r="P574" s="1">
        <f t="shared" ca="1" si="100"/>
        <v>45106</v>
      </c>
      <c r="Q574" s="1">
        <f t="shared" ca="1" si="101"/>
        <v>45102</v>
      </c>
      <c r="R574">
        <f t="shared" ca="1" si="102"/>
        <v>11</v>
      </c>
      <c r="S574" t="str">
        <f t="shared" ca="1" si="103"/>
        <v>On Time</v>
      </c>
      <c r="T574" t="str">
        <f t="shared" ca="1" si="104"/>
        <v>0-30</v>
      </c>
      <c r="U574">
        <f t="shared" ca="1" si="105"/>
        <v>0</v>
      </c>
      <c r="V574" t="str">
        <f t="shared" ca="1" si="106"/>
        <v>Efficient</v>
      </c>
      <c r="W574">
        <f t="shared" si="107"/>
        <v>7710.7199999999993</v>
      </c>
    </row>
    <row r="575" spans="1:23" x14ac:dyDescent="0.35">
      <c r="A575" t="s">
        <v>600</v>
      </c>
      <c r="B575" t="s">
        <v>29</v>
      </c>
      <c r="C575" s="1">
        <v>45046</v>
      </c>
      <c r="D575" s="1">
        <v>45059</v>
      </c>
      <c r="E575" t="s">
        <v>21</v>
      </c>
      <c r="F575" t="s">
        <v>18</v>
      </c>
      <c r="G575">
        <v>916</v>
      </c>
      <c r="H575">
        <v>21.06</v>
      </c>
      <c r="I575">
        <v>19.53</v>
      </c>
      <c r="J575">
        <v>25</v>
      </c>
      <c r="K575">
        <f t="shared" si="96"/>
        <v>891</v>
      </c>
      <c r="L575" t="s">
        <v>15</v>
      </c>
      <c r="M575" s="1">
        <f t="shared" si="97"/>
        <v>45059</v>
      </c>
      <c r="N575" t="str">
        <f t="shared" ca="1" si="98"/>
        <v>Net 45</v>
      </c>
      <c r="O575">
        <f t="shared" ca="1" si="99"/>
        <v>45</v>
      </c>
      <c r="P575" s="1">
        <f t="shared" ca="1" si="100"/>
        <v>45104</v>
      </c>
      <c r="Q575" s="1">
        <f t="shared" ca="1" si="101"/>
        <v>45111</v>
      </c>
      <c r="R575">
        <f t="shared" ca="1" si="102"/>
        <v>52</v>
      </c>
      <c r="S575" t="str">
        <f t="shared" ca="1" si="103"/>
        <v>Late</v>
      </c>
      <c r="T575" t="str">
        <f t="shared" ca="1" si="104"/>
        <v>31-60</v>
      </c>
      <c r="U575">
        <f t="shared" ca="1" si="105"/>
        <v>7</v>
      </c>
      <c r="V575" t="str">
        <f t="shared" ca="1" si="106"/>
        <v>Inefficient</v>
      </c>
      <c r="W575">
        <f t="shared" si="107"/>
        <v>17889.48</v>
      </c>
    </row>
    <row r="576" spans="1:23" x14ac:dyDescent="0.35">
      <c r="A576" t="s">
        <v>601</v>
      </c>
      <c r="B576" t="s">
        <v>29</v>
      </c>
      <c r="C576" s="1">
        <v>44735</v>
      </c>
      <c r="E576" t="s">
        <v>26</v>
      </c>
      <c r="F576" t="s">
        <v>18</v>
      </c>
      <c r="G576">
        <v>872</v>
      </c>
      <c r="H576">
        <v>17.18</v>
      </c>
      <c r="I576">
        <v>16.63</v>
      </c>
      <c r="J576">
        <v>20</v>
      </c>
      <c r="K576">
        <f t="shared" si="96"/>
        <v>852</v>
      </c>
      <c r="L576" t="s">
        <v>15</v>
      </c>
      <c r="M576" s="1">
        <f t="shared" si="97"/>
        <v>0</v>
      </c>
      <c r="N576" t="str">
        <f t="shared" ca="1" si="98"/>
        <v>Net 15</v>
      </c>
      <c r="O576">
        <f t="shared" ca="1" si="99"/>
        <v>15</v>
      </c>
      <c r="P576" s="1">
        <f t="shared" ca="1" si="100"/>
        <v>15</v>
      </c>
      <c r="Q576" s="1">
        <f t="shared" ca="1" si="101"/>
        <v>26</v>
      </c>
      <c r="R576">
        <f t="shared" ca="1" si="102"/>
        <v>26</v>
      </c>
      <c r="S576" t="str">
        <f t="shared" ca="1" si="103"/>
        <v>Late</v>
      </c>
      <c r="T576" t="str">
        <f t="shared" ca="1" si="104"/>
        <v>0-30</v>
      </c>
      <c r="U576">
        <f t="shared" ca="1" si="105"/>
        <v>11</v>
      </c>
      <c r="V576" t="str">
        <f t="shared" ca="1" si="106"/>
        <v>Inefficient</v>
      </c>
      <c r="W576">
        <f t="shared" si="107"/>
        <v>14501.359999999999</v>
      </c>
    </row>
    <row r="577" spans="1:23" x14ac:dyDescent="0.35">
      <c r="A577" t="s">
        <v>602</v>
      </c>
      <c r="B577" t="s">
        <v>23</v>
      </c>
      <c r="C577" s="1">
        <v>45236</v>
      </c>
      <c r="D577" s="1">
        <v>45245</v>
      </c>
      <c r="E577" t="s">
        <v>39</v>
      </c>
      <c r="F577" t="s">
        <v>18</v>
      </c>
      <c r="G577">
        <v>985</v>
      </c>
      <c r="H577">
        <v>83.85</v>
      </c>
      <c r="I577">
        <v>80.88</v>
      </c>
      <c r="K577">
        <f t="shared" si="96"/>
        <v>985</v>
      </c>
      <c r="L577" t="s">
        <v>27</v>
      </c>
      <c r="M577" s="1">
        <f t="shared" si="97"/>
        <v>45245</v>
      </c>
      <c r="N577" t="str">
        <f t="shared" ca="1" si="98"/>
        <v>Net 15</v>
      </c>
      <c r="O577">
        <f t="shared" ca="1" si="99"/>
        <v>15</v>
      </c>
      <c r="P577" s="1">
        <f t="shared" ca="1" si="100"/>
        <v>45260</v>
      </c>
      <c r="Q577" s="1">
        <f t="shared" ca="1" si="101"/>
        <v>45276</v>
      </c>
      <c r="R577">
        <f t="shared" ca="1" si="102"/>
        <v>31</v>
      </c>
      <c r="S577" t="str">
        <f t="shared" ca="1" si="103"/>
        <v>Late</v>
      </c>
      <c r="T577" t="str">
        <f t="shared" ca="1" si="104"/>
        <v>31-60</v>
      </c>
      <c r="U577">
        <f t="shared" ca="1" si="105"/>
        <v>16</v>
      </c>
      <c r="V577" t="str">
        <f t="shared" ca="1" si="106"/>
        <v>Inefficient</v>
      </c>
      <c r="W577">
        <f t="shared" si="107"/>
        <v>79666.799999999988</v>
      </c>
    </row>
    <row r="578" spans="1:23" x14ac:dyDescent="0.35">
      <c r="A578" t="s">
        <v>603</v>
      </c>
      <c r="B578" t="s">
        <v>20</v>
      </c>
      <c r="C578" s="1">
        <v>44648</v>
      </c>
      <c r="D578" s="1">
        <v>44655</v>
      </c>
      <c r="E578" t="s">
        <v>26</v>
      </c>
      <c r="F578" t="s">
        <v>18</v>
      </c>
      <c r="G578">
        <v>1893</v>
      </c>
      <c r="H578">
        <v>55.14</v>
      </c>
      <c r="I578">
        <v>50.1</v>
      </c>
      <c r="J578">
        <v>98</v>
      </c>
      <c r="K578">
        <f t="shared" si="96"/>
        <v>1795</v>
      </c>
      <c r="L578" t="s">
        <v>15</v>
      </c>
      <c r="M578" s="1">
        <f t="shared" si="97"/>
        <v>44655</v>
      </c>
      <c r="N578" t="str">
        <f t="shared" ca="1" si="98"/>
        <v>Net 30</v>
      </c>
      <c r="O578">
        <f t="shared" ca="1" si="99"/>
        <v>30</v>
      </c>
      <c r="P578" s="1">
        <f t="shared" ca="1" si="100"/>
        <v>44685</v>
      </c>
      <c r="Q578" s="1">
        <f t="shared" ca="1" si="101"/>
        <v>44685</v>
      </c>
      <c r="R578">
        <f t="shared" ca="1" si="102"/>
        <v>30</v>
      </c>
      <c r="S578" t="str">
        <f t="shared" ca="1" si="103"/>
        <v>On Time</v>
      </c>
      <c r="T578" t="str">
        <f t="shared" ca="1" si="104"/>
        <v>0-30</v>
      </c>
      <c r="U578">
        <f t="shared" ca="1" si="105"/>
        <v>0</v>
      </c>
      <c r="V578" t="str">
        <f t="shared" ca="1" si="106"/>
        <v>Efficient</v>
      </c>
      <c r="W578">
        <f t="shared" si="107"/>
        <v>94839.3</v>
      </c>
    </row>
    <row r="579" spans="1:23" x14ac:dyDescent="0.35">
      <c r="A579" t="s">
        <v>604</v>
      </c>
      <c r="B579" t="s">
        <v>12</v>
      </c>
      <c r="C579" s="1">
        <v>44852</v>
      </c>
      <c r="E579" t="s">
        <v>21</v>
      </c>
      <c r="F579" t="s">
        <v>18</v>
      </c>
      <c r="G579">
        <v>705</v>
      </c>
      <c r="H579">
        <v>75.19</v>
      </c>
      <c r="I579">
        <v>69.55</v>
      </c>
      <c r="J579">
        <v>19</v>
      </c>
      <c r="K579">
        <f t="shared" ref="K579:K642" si="108">G579-J579</f>
        <v>686</v>
      </c>
      <c r="L579" t="s">
        <v>15</v>
      </c>
      <c r="M579" s="1">
        <f t="shared" ref="M579:M642" si="109">D579</f>
        <v>0</v>
      </c>
      <c r="N579" t="str">
        <f t="shared" ref="N579:N642" ca="1" si="110">CHOOSE(RANDBETWEEN(1,3),"Net 15","Net 30","Net 45")</f>
        <v>Net 30</v>
      </c>
      <c r="O579">
        <f t="shared" ref="O579:O642" ca="1" si="111">VALUE(RIGHT(N579,2))</f>
        <v>30</v>
      </c>
      <c r="P579" s="1">
        <f t="shared" ref="P579:P642" ca="1" si="112">(M579+O579)</f>
        <v>30</v>
      </c>
      <c r="Q579" s="1">
        <f t="shared" ref="Q579:Q642" ca="1" si="113">P579 + RANDBETWEEN(-5,20)</f>
        <v>50</v>
      </c>
      <c r="R579">
        <f t="shared" ref="R579:R642" ca="1" si="114">Q579-M579</f>
        <v>50</v>
      </c>
      <c r="S579" t="str">
        <f t="shared" ref="S579:S642" ca="1" si="115">IF(Q579&lt;=P579,"On Time","Late")</f>
        <v>Late</v>
      </c>
      <c r="T579" t="str">
        <f t="shared" ref="T579:T642" ca="1" si="116">IF(R579&lt;=30,"0-30",
IF(R579&lt;=60,"31-60",
IF(R579&lt;=90,"61-90","90+")))</f>
        <v>31-60</v>
      </c>
      <c r="U579">
        <f t="shared" ref="U579:U642" ca="1" si="117">MAX(0,Q579-P579)</f>
        <v>20</v>
      </c>
      <c r="V579" t="str">
        <f t="shared" ref="V579:V642" ca="1" si="118">IF(U579=0,"Efficient","Inefficient")</f>
        <v>Inefficient</v>
      </c>
      <c r="W579">
        <f t="shared" ref="W579:W642" si="119">G579*I579</f>
        <v>49032.75</v>
      </c>
    </row>
    <row r="580" spans="1:23" x14ac:dyDescent="0.35">
      <c r="A580" t="s">
        <v>605</v>
      </c>
      <c r="B580" t="s">
        <v>17</v>
      </c>
      <c r="C580" s="1">
        <v>45089</v>
      </c>
      <c r="D580" s="1">
        <v>45105</v>
      </c>
      <c r="E580" t="s">
        <v>21</v>
      </c>
      <c r="F580" t="s">
        <v>18</v>
      </c>
      <c r="G580">
        <v>318</v>
      </c>
      <c r="H580">
        <v>53.31</v>
      </c>
      <c r="I580">
        <v>51.78</v>
      </c>
      <c r="K580">
        <f t="shared" si="108"/>
        <v>318</v>
      </c>
      <c r="L580" t="s">
        <v>27</v>
      </c>
      <c r="M580" s="1">
        <f t="shared" si="109"/>
        <v>45105</v>
      </c>
      <c r="N580" t="str">
        <f t="shared" ca="1" si="110"/>
        <v>Net 15</v>
      </c>
      <c r="O580">
        <f t="shared" ca="1" si="111"/>
        <v>15</v>
      </c>
      <c r="P580" s="1">
        <f t="shared" ca="1" si="112"/>
        <v>45120</v>
      </c>
      <c r="Q580" s="1">
        <f t="shared" ca="1" si="113"/>
        <v>45120</v>
      </c>
      <c r="R580">
        <f t="shared" ca="1" si="114"/>
        <v>15</v>
      </c>
      <c r="S580" t="str">
        <f t="shared" ca="1" si="115"/>
        <v>On Time</v>
      </c>
      <c r="T580" t="str">
        <f t="shared" ca="1" si="116"/>
        <v>0-30</v>
      </c>
      <c r="U580">
        <f t="shared" ca="1" si="117"/>
        <v>0</v>
      </c>
      <c r="V580" t="str">
        <f t="shared" ca="1" si="118"/>
        <v>Efficient</v>
      </c>
      <c r="W580">
        <f t="shared" si="119"/>
        <v>16466.04</v>
      </c>
    </row>
    <row r="581" spans="1:23" x14ac:dyDescent="0.35">
      <c r="A581" t="s">
        <v>606</v>
      </c>
      <c r="B581" t="s">
        <v>12</v>
      </c>
      <c r="C581" s="1">
        <v>45241</v>
      </c>
      <c r="D581" s="1">
        <v>45246</v>
      </c>
      <c r="E581" t="s">
        <v>13</v>
      </c>
      <c r="F581" t="s">
        <v>35</v>
      </c>
      <c r="G581">
        <v>419</v>
      </c>
      <c r="H581">
        <v>35.72</v>
      </c>
      <c r="I581">
        <v>32.74</v>
      </c>
      <c r="J581">
        <v>7</v>
      </c>
      <c r="K581">
        <f t="shared" si="108"/>
        <v>412</v>
      </c>
      <c r="L581" t="s">
        <v>15</v>
      </c>
      <c r="M581" s="1">
        <f t="shared" si="109"/>
        <v>45246</v>
      </c>
      <c r="N581" t="str">
        <f t="shared" ca="1" si="110"/>
        <v>Net 45</v>
      </c>
      <c r="O581">
        <f t="shared" ca="1" si="111"/>
        <v>45</v>
      </c>
      <c r="P581" s="1">
        <f t="shared" ca="1" si="112"/>
        <v>45291</v>
      </c>
      <c r="Q581" s="1">
        <f t="shared" ca="1" si="113"/>
        <v>45290</v>
      </c>
      <c r="R581">
        <f t="shared" ca="1" si="114"/>
        <v>44</v>
      </c>
      <c r="S581" t="str">
        <f t="shared" ca="1" si="115"/>
        <v>On Time</v>
      </c>
      <c r="T581" t="str">
        <f t="shared" ca="1" si="116"/>
        <v>31-60</v>
      </c>
      <c r="U581">
        <f t="shared" ca="1" si="117"/>
        <v>0</v>
      </c>
      <c r="V581" t="str">
        <f t="shared" ca="1" si="118"/>
        <v>Efficient</v>
      </c>
      <c r="W581">
        <f t="shared" si="119"/>
        <v>13718.060000000001</v>
      </c>
    </row>
    <row r="582" spans="1:23" x14ac:dyDescent="0.35">
      <c r="A582" t="s">
        <v>607</v>
      </c>
      <c r="B582" t="s">
        <v>20</v>
      </c>
      <c r="C582" s="1">
        <v>45210</v>
      </c>
      <c r="D582" s="1">
        <v>45225</v>
      </c>
      <c r="E582" t="s">
        <v>21</v>
      </c>
      <c r="F582" t="s">
        <v>18</v>
      </c>
      <c r="G582">
        <v>685</v>
      </c>
      <c r="H582">
        <v>92.51</v>
      </c>
      <c r="I582">
        <v>90.05</v>
      </c>
      <c r="J582">
        <v>38</v>
      </c>
      <c r="K582">
        <f t="shared" si="108"/>
        <v>647</v>
      </c>
      <c r="L582" t="s">
        <v>15</v>
      </c>
      <c r="M582" s="1">
        <f t="shared" si="109"/>
        <v>45225</v>
      </c>
      <c r="N582" t="str">
        <f t="shared" ca="1" si="110"/>
        <v>Net 15</v>
      </c>
      <c r="O582">
        <f t="shared" ca="1" si="111"/>
        <v>15</v>
      </c>
      <c r="P582" s="1">
        <f t="shared" ca="1" si="112"/>
        <v>45240</v>
      </c>
      <c r="Q582" s="1">
        <f t="shared" ca="1" si="113"/>
        <v>45245</v>
      </c>
      <c r="R582">
        <f t="shared" ca="1" si="114"/>
        <v>20</v>
      </c>
      <c r="S582" t="str">
        <f t="shared" ca="1" si="115"/>
        <v>Late</v>
      </c>
      <c r="T582" t="str">
        <f t="shared" ca="1" si="116"/>
        <v>0-30</v>
      </c>
      <c r="U582">
        <f t="shared" ca="1" si="117"/>
        <v>5</v>
      </c>
      <c r="V582" t="str">
        <f t="shared" ca="1" si="118"/>
        <v>Inefficient</v>
      </c>
      <c r="W582">
        <f t="shared" si="119"/>
        <v>61684.25</v>
      </c>
    </row>
    <row r="583" spans="1:23" x14ac:dyDescent="0.35">
      <c r="A583" t="s">
        <v>608</v>
      </c>
      <c r="B583" t="s">
        <v>17</v>
      </c>
      <c r="C583" s="1">
        <v>45196</v>
      </c>
      <c r="D583" s="1">
        <v>45211</v>
      </c>
      <c r="E583" t="s">
        <v>13</v>
      </c>
      <c r="F583" t="s">
        <v>33</v>
      </c>
      <c r="G583">
        <v>1179</v>
      </c>
      <c r="H583">
        <v>90.14</v>
      </c>
      <c r="I583">
        <v>82.63</v>
      </c>
      <c r="J583">
        <v>194</v>
      </c>
      <c r="K583">
        <f t="shared" si="108"/>
        <v>985</v>
      </c>
      <c r="L583" t="s">
        <v>15</v>
      </c>
      <c r="M583" s="1">
        <f t="shared" si="109"/>
        <v>45211</v>
      </c>
      <c r="N583" t="str">
        <f t="shared" ca="1" si="110"/>
        <v>Net 30</v>
      </c>
      <c r="O583">
        <f t="shared" ca="1" si="111"/>
        <v>30</v>
      </c>
      <c r="P583" s="1">
        <f t="shared" ca="1" si="112"/>
        <v>45241</v>
      </c>
      <c r="Q583" s="1">
        <f t="shared" ca="1" si="113"/>
        <v>45249</v>
      </c>
      <c r="R583">
        <f t="shared" ca="1" si="114"/>
        <v>38</v>
      </c>
      <c r="S583" t="str">
        <f t="shared" ca="1" si="115"/>
        <v>Late</v>
      </c>
      <c r="T583" t="str">
        <f t="shared" ca="1" si="116"/>
        <v>31-60</v>
      </c>
      <c r="U583">
        <f t="shared" ca="1" si="117"/>
        <v>8</v>
      </c>
      <c r="V583" t="str">
        <f t="shared" ca="1" si="118"/>
        <v>Inefficient</v>
      </c>
      <c r="W583">
        <f t="shared" si="119"/>
        <v>97420.76999999999</v>
      </c>
    </row>
    <row r="584" spans="1:23" x14ac:dyDescent="0.35">
      <c r="A584" t="s">
        <v>609</v>
      </c>
      <c r="B584" t="s">
        <v>12</v>
      </c>
      <c r="C584" s="1">
        <v>44905</v>
      </c>
      <c r="E584" t="s">
        <v>26</v>
      </c>
      <c r="F584" t="s">
        <v>18</v>
      </c>
      <c r="G584">
        <v>1743</v>
      </c>
      <c r="H584">
        <v>76.510000000000005</v>
      </c>
      <c r="I584">
        <v>65.88</v>
      </c>
      <c r="J584">
        <v>40</v>
      </c>
      <c r="K584">
        <f t="shared" si="108"/>
        <v>1703</v>
      </c>
      <c r="L584" t="s">
        <v>15</v>
      </c>
      <c r="M584" s="1">
        <f t="shared" si="109"/>
        <v>0</v>
      </c>
      <c r="N584" t="str">
        <f t="shared" ca="1" si="110"/>
        <v>Net 30</v>
      </c>
      <c r="O584">
        <f t="shared" ca="1" si="111"/>
        <v>30</v>
      </c>
      <c r="P584" s="1">
        <f t="shared" ca="1" si="112"/>
        <v>30</v>
      </c>
      <c r="Q584" s="1">
        <f t="shared" ca="1" si="113"/>
        <v>27</v>
      </c>
      <c r="R584">
        <f t="shared" ca="1" si="114"/>
        <v>27</v>
      </c>
      <c r="S584" t="str">
        <f t="shared" ca="1" si="115"/>
        <v>On Time</v>
      </c>
      <c r="T584" t="str">
        <f t="shared" ca="1" si="116"/>
        <v>0-30</v>
      </c>
      <c r="U584">
        <f t="shared" ca="1" si="117"/>
        <v>0</v>
      </c>
      <c r="V584" t="str">
        <f t="shared" ca="1" si="118"/>
        <v>Efficient</v>
      </c>
      <c r="W584">
        <f t="shared" si="119"/>
        <v>114828.84</v>
      </c>
    </row>
    <row r="585" spans="1:23" x14ac:dyDescent="0.35">
      <c r="A585" t="s">
        <v>610</v>
      </c>
      <c r="B585" t="s">
        <v>12</v>
      </c>
      <c r="C585" s="1">
        <v>44657</v>
      </c>
      <c r="D585" s="1">
        <v>44668</v>
      </c>
      <c r="E585" t="s">
        <v>21</v>
      </c>
      <c r="F585" t="s">
        <v>18</v>
      </c>
      <c r="G585">
        <v>1732</v>
      </c>
      <c r="H585">
        <v>35.01</v>
      </c>
      <c r="I585">
        <v>34.18</v>
      </c>
      <c r="J585">
        <v>40</v>
      </c>
      <c r="K585">
        <f t="shared" si="108"/>
        <v>1692</v>
      </c>
      <c r="L585" t="s">
        <v>15</v>
      </c>
      <c r="M585" s="1">
        <f t="shared" si="109"/>
        <v>44668</v>
      </c>
      <c r="N585" t="str">
        <f t="shared" ca="1" si="110"/>
        <v>Net 30</v>
      </c>
      <c r="O585">
        <f t="shared" ca="1" si="111"/>
        <v>30</v>
      </c>
      <c r="P585" s="1">
        <f t="shared" ca="1" si="112"/>
        <v>44698</v>
      </c>
      <c r="Q585" s="1">
        <f t="shared" ca="1" si="113"/>
        <v>44710</v>
      </c>
      <c r="R585">
        <f t="shared" ca="1" si="114"/>
        <v>42</v>
      </c>
      <c r="S585" t="str">
        <f t="shared" ca="1" si="115"/>
        <v>Late</v>
      </c>
      <c r="T585" t="str">
        <f t="shared" ca="1" si="116"/>
        <v>31-60</v>
      </c>
      <c r="U585">
        <f t="shared" ca="1" si="117"/>
        <v>12</v>
      </c>
      <c r="V585" t="str">
        <f t="shared" ca="1" si="118"/>
        <v>Inefficient</v>
      </c>
      <c r="W585">
        <f t="shared" si="119"/>
        <v>59199.76</v>
      </c>
    </row>
    <row r="586" spans="1:23" x14ac:dyDescent="0.35">
      <c r="A586" t="s">
        <v>611</v>
      </c>
      <c r="B586" t="s">
        <v>23</v>
      </c>
      <c r="C586" s="1">
        <v>44802</v>
      </c>
      <c r="D586" s="1">
        <v>44805</v>
      </c>
      <c r="E586" t="s">
        <v>13</v>
      </c>
      <c r="F586" t="s">
        <v>18</v>
      </c>
      <c r="G586">
        <v>706</v>
      </c>
      <c r="H586">
        <v>65.33</v>
      </c>
      <c r="I586">
        <v>62.06</v>
      </c>
      <c r="J586">
        <v>60</v>
      </c>
      <c r="K586">
        <f t="shared" si="108"/>
        <v>646</v>
      </c>
      <c r="L586" t="s">
        <v>27</v>
      </c>
      <c r="M586" s="1">
        <f t="shared" si="109"/>
        <v>44805</v>
      </c>
      <c r="N586" t="str">
        <f t="shared" ca="1" si="110"/>
        <v>Net 15</v>
      </c>
      <c r="O586">
        <f t="shared" ca="1" si="111"/>
        <v>15</v>
      </c>
      <c r="P586" s="1">
        <f t="shared" ca="1" si="112"/>
        <v>44820</v>
      </c>
      <c r="Q586" s="1">
        <f t="shared" ca="1" si="113"/>
        <v>44839</v>
      </c>
      <c r="R586">
        <f t="shared" ca="1" si="114"/>
        <v>34</v>
      </c>
      <c r="S586" t="str">
        <f t="shared" ca="1" si="115"/>
        <v>Late</v>
      </c>
      <c r="T586" t="str">
        <f t="shared" ca="1" si="116"/>
        <v>31-60</v>
      </c>
      <c r="U586">
        <f t="shared" ca="1" si="117"/>
        <v>19</v>
      </c>
      <c r="V586" t="str">
        <f t="shared" ca="1" si="118"/>
        <v>Inefficient</v>
      </c>
      <c r="W586">
        <f t="shared" si="119"/>
        <v>43814.36</v>
      </c>
    </row>
    <row r="587" spans="1:23" x14ac:dyDescent="0.35">
      <c r="A587" t="s">
        <v>612</v>
      </c>
      <c r="B587" t="s">
        <v>20</v>
      </c>
      <c r="C587" s="1">
        <v>45250</v>
      </c>
      <c r="D587" s="1">
        <v>45260</v>
      </c>
      <c r="E587" t="s">
        <v>21</v>
      </c>
      <c r="F587" t="s">
        <v>14</v>
      </c>
      <c r="G587">
        <v>169</v>
      </c>
      <c r="H587">
        <v>47.16</v>
      </c>
      <c r="I587">
        <v>43.4</v>
      </c>
      <c r="K587">
        <f t="shared" si="108"/>
        <v>169</v>
      </c>
      <c r="L587" t="s">
        <v>15</v>
      </c>
      <c r="M587" s="1">
        <f t="shared" si="109"/>
        <v>45260</v>
      </c>
      <c r="N587" t="str">
        <f t="shared" ca="1" si="110"/>
        <v>Net 15</v>
      </c>
      <c r="O587">
        <f t="shared" ca="1" si="111"/>
        <v>15</v>
      </c>
      <c r="P587" s="1">
        <f t="shared" ca="1" si="112"/>
        <v>45275</v>
      </c>
      <c r="Q587" s="1">
        <f t="shared" ca="1" si="113"/>
        <v>45275</v>
      </c>
      <c r="R587">
        <f t="shared" ca="1" si="114"/>
        <v>15</v>
      </c>
      <c r="S587" t="str">
        <f t="shared" ca="1" si="115"/>
        <v>On Time</v>
      </c>
      <c r="T587" t="str">
        <f t="shared" ca="1" si="116"/>
        <v>0-30</v>
      </c>
      <c r="U587">
        <f t="shared" ca="1" si="117"/>
        <v>0</v>
      </c>
      <c r="V587" t="str">
        <f t="shared" ca="1" si="118"/>
        <v>Efficient</v>
      </c>
      <c r="W587">
        <f t="shared" si="119"/>
        <v>7334.5999999999995</v>
      </c>
    </row>
    <row r="588" spans="1:23" x14ac:dyDescent="0.35">
      <c r="A588" t="s">
        <v>613</v>
      </c>
      <c r="B588" t="s">
        <v>20</v>
      </c>
      <c r="C588" s="1">
        <v>44879</v>
      </c>
      <c r="D588" s="1">
        <v>44885</v>
      </c>
      <c r="E588" t="s">
        <v>13</v>
      </c>
      <c r="F588" t="s">
        <v>35</v>
      </c>
      <c r="G588">
        <v>880</v>
      </c>
      <c r="H588">
        <v>19.149999999999999</v>
      </c>
      <c r="I588">
        <v>18.690000000000001</v>
      </c>
      <c r="K588">
        <f t="shared" si="108"/>
        <v>880</v>
      </c>
      <c r="L588" t="s">
        <v>27</v>
      </c>
      <c r="M588" s="1">
        <f t="shared" si="109"/>
        <v>44885</v>
      </c>
      <c r="N588" t="str">
        <f t="shared" ca="1" si="110"/>
        <v>Net 15</v>
      </c>
      <c r="O588">
        <f t="shared" ca="1" si="111"/>
        <v>15</v>
      </c>
      <c r="P588" s="1">
        <f t="shared" ca="1" si="112"/>
        <v>44900</v>
      </c>
      <c r="Q588" s="1">
        <f t="shared" ca="1" si="113"/>
        <v>44901</v>
      </c>
      <c r="R588">
        <f t="shared" ca="1" si="114"/>
        <v>16</v>
      </c>
      <c r="S588" t="str">
        <f t="shared" ca="1" si="115"/>
        <v>Late</v>
      </c>
      <c r="T588" t="str">
        <f t="shared" ca="1" si="116"/>
        <v>0-30</v>
      </c>
      <c r="U588">
        <f t="shared" ca="1" si="117"/>
        <v>1</v>
      </c>
      <c r="V588" t="str">
        <f t="shared" ca="1" si="118"/>
        <v>Inefficient</v>
      </c>
      <c r="W588">
        <f t="shared" si="119"/>
        <v>16447.2</v>
      </c>
    </row>
    <row r="589" spans="1:23" x14ac:dyDescent="0.35">
      <c r="A589" t="s">
        <v>614</v>
      </c>
      <c r="B589" t="s">
        <v>20</v>
      </c>
      <c r="C589" s="1">
        <v>44792</v>
      </c>
      <c r="D589" s="1">
        <v>44798</v>
      </c>
      <c r="E589" t="s">
        <v>21</v>
      </c>
      <c r="F589" t="s">
        <v>18</v>
      </c>
      <c r="G589">
        <v>1860</v>
      </c>
      <c r="H589">
        <v>95.8</v>
      </c>
      <c r="I589">
        <v>92.17</v>
      </c>
      <c r="J589">
        <v>105</v>
      </c>
      <c r="K589">
        <f t="shared" si="108"/>
        <v>1755</v>
      </c>
      <c r="L589" t="s">
        <v>27</v>
      </c>
      <c r="M589" s="1">
        <f t="shared" si="109"/>
        <v>44798</v>
      </c>
      <c r="N589" t="str">
        <f t="shared" ca="1" si="110"/>
        <v>Net 45</v>
      </c>
      <c r="O589">
        <f t="shared" ca="1" si="111"/>
        <v>45</v>
      </c>
      <c r="P589" s="1">
        <f t="shared" ca="1" si="112"/>
        <v>44843</v>
      </c>
      <c r="Q589" s="1">
        <f t="shared" ca="1" si="113"/>
        <v>44845</v>
      </c>
      <c r="R589">
        <f t="shared" ca="1" si="114"/>
        <v>47</v>
      </c>
      <c r="S589" t="str">
        <f t="shared" ca="1" si="115"/>
        <v>Late</v>
      </c>
      <c r="T589" t="str">
        <f t="shared" ca="1" si="116"/>
        <v>31-60</v>
      </c>
      <c r="U589">
        <f t="shared" ca="1" si="117"/>
        <v>2</v>
      </c>
      <c r="V589" t="str">
        <f t="shared" ca="1" si="118"/>
        <v>Inefficient</v>
      </c>
      <c r="W589">
        <f t="shared" si="119"/>
        <v>171436.2</v>
      </c>
    </row>
    <row r="590" spans="1:23" x14ac:dyDescent="0.35">
      <c r="A590" t="s">
        <v>615</v>
      </c>
      <c r="B590" t="s">
        <v>17</v>
      </c>
      <c r="C590" s="1">
        <v>44765</v>
      </c>
      <c r="D590" s="1">
        <v>44782</v>
      </c>
      <c r="E590" t="s">
        <v>21</v>
      </c>
      <c r="F590" t="s">
        <v>18</v>
      </c>
      <c r="G590">
        <v>1677</v>
      </c>
      <c r="H590">
        <v>22.98</v>
      </c>
      <c r="I590">
        <v>21.71</v>
      </c>
      <c r="J590">
        <v>246</v>
      </c>
      <c r="K590">
        <f t="shared" si="108"/>
        <v>1431</v>
      </c>
      <c r="L590" t="s">
        <v>15</v>
      </c>
      <c r="M590" s="1">
        <f t="shared" si="109"/>
        <v>44782</v>
      </c>
      <c r="N590" t="str">
        <f t="shared" ca="1" si="110"/>
        <v>Net 45</v>
      </c>
      <c r="O590">
        <f t="shared" ca="1" si="111"/>
        <v>45</v>
      </c>
      <c r="P590" s="1">
        <f t="shared" ca="1" si="112"/>
        <v>44827</v>
      </c>
      <c r="Q590" s="1">
        <f t="shared" ca="1" si="113"/>
        <v>44840</v>
      </c>
      <c r="R590">
        <f t="shared" ca="1" si="114"/>
        <v>58</v>
      </c>
      <c r="S590" t="str">
        <f t="shared" ca="1" si="115"/>
        <v>Late</v>
      </c>
      <c r="T590" t="str">
        <f t="shared" ca="1" si="116"/>
        <v>31-60</v>
      </c>
      <c r="U590">
        <f t="shared" ca="1" si="117"/>
        <v>13</v>
      </c>
      <c r="V590" t="str">
        <f t="shared" ca="1" si="118"/>
        <v>Inefficient</v>
      </c>
      <c r="W590">
        <f t="shared" si="119"/>
        <v>36407.67</v>
      </c>
    </row>
    <row r="591" spans="1:23" x14ac:dyDescent="0.35">
      <c r="A591" t="s">
        <v>616</v>
      </c>
      <c r="B591" t="s">
        <v>23</v>
      </c>
      <c r="C591" s="1">
        <v>44712</v>
      </c>
      <c r="D591" s="1">
        <v>44719</v>
      </c>
      <c r="E591" t="s">
        <v>24</v>
      </c>
      <c r="F591" t="s">
        <v>33</v>
      </c>
      <c r="G591">
        <v>1131</v>
      </c>
      <c r="H591">
        <v>97.43</v>
      </c>
      <c r="I591">
        <v>91.28</v>
      </c>
      <c r="J591">
        <v>103</v>
      </c>
      <c r="K591">
        <f t="shared" si="108"/>
        <v>1028</v>
      </c>
      <c r="L591" t="s">
        <v>15</v>
      </c>
      <c r="M591" s="1">
        <f t="shared" si="109"/>
        <v>44719</v>
      </c>
      <c r="N591" t="str">
        <f t="shared" ca="1" si="110"/>
        <v>Net 30</v>
      </c>
      <c r="O591">
        <f t="shared" ca="1" si="111"/>
        <v>30</v>
      </c>
      <c r="P591" s="1">
        <f t="shared" ca="1" si="112"/>
        <v>44749</v>
      </c>
      <c r="Q591" s="1">
        <f t="shared" ca="1" si="113"/>
        <v>44763</v>
      </c>
      <c r="R591">
        <f t="shared" ca="1" si="114"/>
        <v>44</v>
      </c>
      <c r="S591" t="str">
        <f t="shared" ca="1" si="115"/>
        <v>Late</v>
      </c>
      <c r="T591" t="str">
        <f t="shared" ca="1" si="116"/>
        <v>31-60</v>
      </c>
      <c r="U591">
        <f t="shared" ca="1" si="117"/>
        <v>14</v>
      </c>
      <c r="V591" t="str">
        <f t="shared" ca="1" si="118"/>
        <v>Inefficient</v>
      </c>
      <c r="W591">
        <f t="shared" si="119"/>
        <v>103237.68000000001</v>
      </c>
    </row>
    <row r="592" spans="1:23" x14ac:dyDescent="0.35">
      <c r="A592" t="s">
        <v>617</v>
      </c>
      <c r="B592" t="s">
        <v>29</v>
      </c>
      <c r="C592" s="1">
        <v>44587</v>
      </c>
      <c r="D592" s="1">
        <v>44595</v>
      </c>
      <c r="E592" t="s">
        <v>26</v>
      </c>
      <c r="F592" t="s">
        <v>14</v>
      </c>
      <c r="G592">
        <v>1419</v>
      </c>
      <c r="H592">
        <v>50.14</v>
      </c>
      <c r="I592">
        <v>43.46</v>
      </c>
      <c r="K592">
        <f t="shared" si="108"/>
        <v>1419</v>
      </c>
      <c r="L592" t="s">
        <v>15</v>
      </c>
      <c r="M592" s="1">
        <f t="shared" si="109"/>
        <v>44595</v>
      </c>
      <c r="N592" t="str">
        <f t="shared" ca="1" si="110"/>
        <v>Net 45</v>
      </c>
      <c r="O592">
        <f t="shared" ca="1" si="111"/>
        <v>45</v>
      </c>
      <c r="P592" s="1">
        <f t="shared" ca="1" si="112"/>
        <v>44640</v>
      </c>
      <c r="Q592" s="1">
        <f t="shared" ca="1" si="113"/>
        <v>44643</v>
      </c>
      <c r="R592">
        <f t="shared" ca="1" si="114"/>
        <v>48</v>
      </c>
      <c r="S592" t="str">
        <f t="shared" ca="1" si="115"/>
        <v>Late</v>
      </c>
      <c r="T592" t="str">
        <f t="shared" ca="1" si="116"/>
        <v>31-60</v>
      </c>
      <c r="U592">
        <f t="shared" ca="1" si="117"/>
        <v>3</v>
      </c>
      <c r="V592" t="str">
        <f t="shared" ca="1" si="118"/>
        <v>Inefficient</v>
      </c>
      <c r="W592">
        <f t="shared" si="119"/>
        <v>61669.74</v>
      </c>
    </row>
    <row r="593" spans="1:23" x14ac:dyDescent="0.35">
      <c r="A593" t="s">
        <v>618</v>
      </c>
      <c r="B593" t="s">
        <v>17</v>
      </c>
      <c r="C593" s="1">
        <v>44609</v>
      </c>
      <c r="D593" s="1">
        <v>44610</v>
      </c>
      <c r="E593" t="s">
        <v>26</v>
      </c>
      <c r="F593" t="s">
        <v>35</v>
      </c>
      <c r="G593">
        <v>790</v>
      </c>
      <c r="H593">
        <v>26.8</v>
      </c>
      <c r="I593">
        <v>25.62</v>
      </c>
      <c r="J593">
        <v>115</v>
      </c>
      <c r="K593">
        <f t="shared" si="108"/>
        <v>675</v>
      </c>
      <c r="L593" t="s">
        <v>15</v>
      </c>
      <c r="M593" s="1">
        <f t="shared" si="109"/>
        <v>44610</v>
      </c>
      <c r="N593" t="str">
        <f t="shared" ca="1" si="110"/>
        <v>Net 45</v>
      </c>
      <c r="O593">
        <f t="shared" ca="1" si="111"/>
        <v>45</v>
      </c>
      <c r="P593" s="1">
        <f t="shared" ca="1" si="112"/>
        <v>44655</v>
      </c>
      <c r="Q593" s="1">
        <f t="shared" ca="1" si="113"/>
        <v>44667</v>
      </c>
      <c r="R593">
        <f t="shared" ca="1" si="114"/>
        <v>57</v>
      </c>
      <c r="S593" t="str">
        <f t="shared" ca="1" si="115"/>
        <v>Late</v>
      </c>
      <c r="T593" t="str">
        <f t="shared" ca="1" si="116"/>
        <v>31-60</v>
      </c>
      <c r="U593">
        <f t="shared" ca="1" si="117"/>
        <v>12</v>
      </c>
      <c r="V593" t="str">
        <f t="shared" ca="1" si="118"/>
        <v>Inefficient</v>
      </c>
      <c r="W593">
        <f t="shared" si="119"/>
        <v>20239.8</v>
      </c>
    </row>
    <row r="594" spans="1:23" x14ac:dyDescent="0.35">
      <c r="A594" t="s">
        <v>619</v>
      </c>
      <c r="B594" t="s">
        <v>20</v>
      </c>
      <c r="C594" s="1">
        <v>44812</v>
      </c>
      <c r="D594" s="1">
        <v>44831</v>
      </c>
      <c r="E594" t="s">
        <v>21</v>
      </c>
      <c r="F594" t="s">
        <v>35</v>
      </c>
      <c r="G594">
        <v>1547</v>
      </c>
      <c r="H594">
        <v>61.12</v>
      </c>
      <c r="I594">
        <v>53.43</v>
      </c>
      <c r="J594">
        <v>77</v>
      </c>
      <c r="K594">
        <f t="shared" si="108"/>
        <v>1470</v>
      </c>
      <c r="L594" t="s">
        <v>15</v>
      </c>
      <c r="M594" s="1">
        <f t="shared" si="109"/>
        <v>44831</v>
      </c>
      <c r="N594" t="str">
        <f t="shared" ca="1" si="110"/>
        <v>Net 30</v>
      </c>
      <c r="O594">
        <f t="shared" ca="1" si="111"/>
        <v>30</v>
      </c>
      <c r="P594" s="1">
        <f t="shared" ca="1" si="112"/>
        <v>44861</v>
      </c>
      <c r="Q594" s="1">
        <f t="shared" ca="1" si="113"/>
        <v>44867</v>
      </c>
      <c r="R594">
        <f t="shared" ca="1" si="114"/>
        <v>36</v>
      </c>
      <c r="S594" t="str">
        <f t="shared" ca="1" si="115"/>
        <v>Late</v>
      </c>
      <c r="T594" t="str">
        <f t="shared" ca="1" si="116"/>
        <v>31-60</v>
      </c>
      <c r="U594">
        <f t="shared" ca="1" si="117"/>
        <v>6</v>
      </c>
      <c r="V594" t="str">
        <f t="shared" ca="1" si="118"/>
        <v>Inefficient</v>
      </c>
      <c r="W594">
        <f t="shared" si="119"/>
        <v>82656.210000000006</v>
      </c>
    </row>
    <row r="595" spans="1:23" x14ac:dyDescent="0.35">
      <c r="A595" t="s">
        <v>620</v>
      </c>
      <c r="B595" t="s">
        <v>17</v>
      </c>
      <c r="C595" s="1">
        <v>45048</v>
      </c>
      <c r="D595" s="1">
        <v>45066</v>
      </c>
      <c r="E595" t="s">
        <v>13</v>
      </c>
      <c r="F595" t="s">
        <v>14</v>
      </c>
      <c r="G595">
        <v>166</v>
      </c>
      <c r="H595">
        <v>95.65</v>
      </c>
      <c r="I595">
        <v>94.48</v>
      </c>
      <c r="J595">
        <v>23</v>
      </c>
      <c r="K595">
        <f t="shared" si="108"/>
        <v>143</v>
      </c>
      <c r="L595" t="s">
        <v>15</v>
      </c>
      <c r="M595" s="1">
        <f t="shared" si="109"/>
        <v>45066</v>
      </c>
      <c r="N595" t="str">
        <f t="shared" ca="1" si="110"/>
        <v>Net 45</v>
      </c>
      <c r="O595">
        <f t="shared" ca="1" si="111"/>
        <v>45</v>
      </c>
      <c r="P595" s="1">
        <f t="shared" ca="1" si="112"/>
        <v>45111</v>
      </c>
      <c r="Q595" s="1">
        <f t="shared" ca="1" si="113"/>
        <v>45127</v>
      </c>
      <c r="R595">
        <f t="shared" ca="1" si="114"/>
        <v>61</v>
      </c>
      <c r="S595" t="str">
        <f t="shared" ca="1" si="115"/>
        <v>Late</v>
      </c>
      <c r="T595" t="str">
        <f t="shared" ca="1" si="116"/>
        <v>61-90</v>
      </c>
      <c r="U595">
        <f t="shared" ca="1" si="117"/>
        <v>16</v>
      </c>
      <c r="V595" t="str">
        <f t="shared" ca="1" si="118"/>
        <v>Inefficient</v>
      </c>
      <c r="W595">
        <f t="shared" si="119"/>
        <v>15683.68</v>
      </c>
    </row>
    <row r="596" spans="1:23" x14ac:dyDescent="0.35">
      <c r="A596" t="s">
        <v>621</v>
      </c>
      <c r="B596" t="s">
        <v>12</v>
      </c>
      <c r="C596" s="1">
        <v>45187</v>
      </c>
      <c r="D596" s="1">
        <v>45190</v>
      </c>
      <c r="E596" t="s">
        <v>39</v>
      </c>
      <c r="F596" t="s">
        <v>18</v>
      </c>
      <c r="G596">
        <v>1903</v>
      </c>
      <c r="H596">
        <v>83.49</v>
      </c>
      <c r="I596">
        <v>82.33</v>
      </c>
      <c r="J596">
        <v>43</v>
      </c>
      <c r="K596">
        <f t="shared" si="108"/>
        <v>1860</v>
      </c>
      <c r="L596" t="s">
        <v>15</v>
      </c>
      <c r="M596" s="1">
        <f t="shared" si="109"/>
        <v>45190</v>
      </c>
      <c r="N596" t="str">
        <f t="shared" ca="1" si="110"/>
        <v>Net 30</v>
      </c>
      <c r="O596">
        <f t="shared" ca="1" si="111"/>
        <v>30</v>
      </c>
      <c r="P596" s="1">
        <f t="shared" ca="1" si="112"/>
        <v>45220</v>
      </c>
      <c r="Q596" s="1">
        <f t="shared" ca="1" si="113"/>
        <v>45236</v>
      </c>
      <c r="R596">
        <f t="shared" ca="1" si="114"/>
        <v>46</v>
      </c>
      <c r="S596" t="str">
        <f t="shared" ca="1" si="115"/>
        <v>Late</v>
      </c>
      <c r="T596" t="str">
        <f t="shared" ca="1" si="116"/>
        <v>31-60</v>
      </c>
      <c r="U596">
        <f t="shared" ca="1" si="117"/>
        <v>16</v>
      </c>
      <c r="V596" t="str">
        <f t="shared" ca="1" si="118"/>
        <v>Inefficient</v>
      </c>
      <c r="W596">
        <f t="shared" si="119"/>
        <v>156673.99</v>
      </c>
    </row>
    <row r="597" spans="1:23" x14ac:dyDescent="0.35">
      <c r="A597" t="s">
        <v>622</v>
      </c>
      <c r="B597" t="s">
        <v>17</v>
      </c>
      <c r="C597" s="1">
        <v>44636</v>
      </c>
      <c r="D597" s="1">
        <v>44649</v>
      </c>
      <c r="E597" t="s">
        <v>13</v>
      </c>
      <c r="F597" t="s">
        <v>33</v>
      </c>
      <c r="G597">
        <v>840</v>
      </c>
      <c r="H597">
        <v>83.42</v>
      </c>
      <c r="I597">
        <v>80.349999999999994</v>
      </c>
      <c r="J597">
        <v>153</v>
      </c>
      <c r="K597">
        <f t="shared" si="108"/>
        <v>687</v>
      </c>
      <c r="L597" t="s">
        <v>15</v>
      </c>
      <c r="M597" s="1">
        <f t="shared" si="109"/>
        <v>44649</v>
      </c>
      <c r="N597" t="str">
        <f t="shared" ca="1" si="110"/>
        <v>Net 15</v>
      </c>
      <c r="O597">
        <f t="shared" ca="1" si="111"/>
        <v>15</v>
      </c>
      <c r="P597" s="1">
        <f t="shared" ca="1" si="112"/>
        <v>44664</v>
      </c>
      <c r="Q597" s="1">
        <f t="shared" ca="1" si="113"/>
        <v>44676</v>
      </c>
      <c r="R597">
        <f t="shared" ca="1" si="114"/>
        <v>27</v>
      </c>
      <c r="S597" t="str">
        <f t="shared" ca="1" si="115"/>
        <v>Late</v>
      </c>
      <c r="T597" t="str">
        <f t="shared" ca="1" si="116"/>
        <v>0-30</v>
      </c>
      <c r="U597">
        <f t="shared" ca="1" si="117"/>
        <v>12</v>
      </c>
      <c r="V597" t="str">
        <f t="shared" ca="1" si="118"/>
        <v>Inefficient</v>
      </c>
      <c r="W597">
        <f t="shared" si="119"/>
        <v>67494</v>
      </c>
    </row>
    <row r="598" spans="1:23" x14ac:dyDescent="0.35">
      <c r="A598" t="s">
        <v>623</v>
      </c>
      <c r="B598" t="s">
        <v>17</v>
      </c>
      <c r="C598" s="1">
        <v>45028</v>
      </c>
      <c r="E598" t="s">
        <v>21</v>
      </c>
      <c r="F598" t="s">
        <v>18</v>
      </c>
      <c r="G598">
        <v>1200</v>
      </c>
      <c r="H598">
        <v>74.489999999999995</v>
      </c>
      <c r="I598">
        <v>64.63</v>
      </c>
      <c r="J598">
        <v>161</v>
      </c>
      <c r="K598">
        <f t="shared" si="108"/>
        <v>1039</v>
      </c>
      <c r="L598" t="s">
        <v>15</v>
      </c>
      <c r="M598" s="1">
        <f t="shared" si="109"/>
        <v>0</v>
      </c>
      <c r="N598" t="str">
        <f t="shared" ca="1" si="110"/>
        <v>Net 45</v>
      </c>
      <c r="O598">
        <f t="shared" ca="1" si="111"/>
        <v>45</v>
      </c>
      <c r="P598" s="1">
        <f t="shared" ca="1" si="112"/>
        <v>45</v>
      </c>
      <c r="Q598" s="1">
        <f t="shared" ca="1" si="113"/>
        <v>49</v>
      </c>
      <c r="R598">
        <f t="shared" ca="1" si="114"/>
        <v>49</v>
      </c>
      <c r="S598" t="str">
        <f t="shared" ca="1" si="115"/>
        <v>Late</v>
      </c>
      <c r="T598" t="str">
        <f t="shared" ca="1" si="116"/>
        <v>31-60</v>
      </c>
      <c r="U598">
        <f t="shared" ca="1" si="117"/>
        <v>4</v>
      </c>
      <c r="V598" t="str">
        <f t="shared" ca="1" si="118"/>
        <v>Inefficient</v>
      </c>
      <c r="W598">
        <f t="shared" si="119"/>
        <v>77556</v>
      </c>
    </row>
    <row r="599" spans="1:23" x14ac:dyDescent="0.35">
      <c r="A599" t="s">
        <v>624</v>
      </c>
      <c r="B599" t="s">
        <v>20</v>
      </c>
      <c r="C599" s="1">
        <v>44986</v>
      </c>
      <c r="D599" s="1">
        <v>45003</v>
      </c>
      <c r="E599" t="s">
        <v>26</v>
      </c>
      <c r="F599" t="s">
        <v>18</v>
      </c>
      <c r="G599">
        <v>1466</v>
      </c>
      <c r="H599">
        <v>77.37</v>
      </c>
      <c r="I599">
        <v>70.349999999999994</v>
      </c>
      <c r="J599">
        <v>72</v>
      </c>
      <c r="K599">
        <f t="shared" si="108"/>
        <v>1394</v>
      </c>
      <c r="L599" t="s">
        <v>15</v>
      </c>
      <c r="M599" s="1">
        <f t="shared" si="109"/>
        <v>45003</v>
      </c>
      <c r="N599" t="str">
        <f t="shared" ca="1" si="110"/>
        <v>Net 45</v>
      </c>
      <c r="O599">
        <f t="shared" ca="1" si="111"/>
        <v>45</v>
      </c>
      <c r="P599" s="1">
        <f t="shared" ca="1" si="112"/>
        <v>45048</v>
      </c>
      <c r="Q599" s="1">
        <f t="shared" ca="1" si="113"/>
        <v>45046</v>
      </c>
      <c r="R599">
        <f t="shared" ca="1" si="114"/>
        <v>43</v>
      </c>
      <c r="S599" t="str">
        <f t="shared" ca="1" si="115"/>
        <v>On Time</v>
      </c>
      <c r="T599" t="str">
        <f t="shared" ca="1" si="116"/>
        <v>31-60</v>
      </c>
      <c r="U599">
        <f t="shared" ca="1" si="117"/>
        <v>0</v>
      </c>
      <c r="V599" t="str">
        <f t="shared" ca="1" si="118"/>
        <v>Efficient</v>
      </c>
      <c r="W599">
        <f t="shared" si="119"/>
        <v>103133.09999999999</v>
      </c>
    </row>
    <row r="600" spans="1:23" x14ac:dyDescent="0.35">
      <c r="A600" t="s">
        <v>625</v>
      </c>
      <c r="B600" t="s">
        <v>12</v>
      </c>
      <c r="C600" s="1">
        <v>45206</v>
      </c>
      <c r="D600" s="1">
        <v>45220</v>
      </c>
      <c r="E600" t="s">
        <v>13</v>
      </c>
      <c r="F600" t="s">
        <v>18</v>
      </c>
      <c r="G600">
        <v>1981</v>
      </c>
      <c r="H600">
        <v>95.5</v>
      </c>
      <c r="I600">
        <v>94.39</v>
      </c>
      <c r="J600">
        <v>49</v>
      </c>
      <c r="K600">
        <f t="shared" si="108"/>
        <v>1932</v>
      </c>
      <c r="L600" t="s">
        <v>15</v>
      </c>
      <c r="M600" s="1">
        <f t="shared" si="109"/>
        <v>45220</v>
      </c>
      <c r="N600" t="str">
        <f t="shared" ca="1" si="110"/>
        <v>Net 30</v>
      </c>
      <c r="O600">
        <f t="shared" ca="1" si="111"/>
        <v>30</v>
      </c>
      <c r="P600" s="1">
        <f t="shared" ca="1" si="112"/>
        <v>45250</v>
      </c>
      <c r="Q600" s="1">
        <f t="shared" ca="1" si="113"/>
        <v>45261</v>
      </c>
      <c r="R600">
        <f t="shared" ca="1" si="114"/>
        <v>41</v>
      </c>
      <c r="S600" t="str">
        <f t="shared" ca="1" si="115"/>
        <v>Late</v>
      </c>
      <c r="T600" t="str">
        <f t="shared" ca="1" si="116"/>
        <v>31-60</v>
      </c>
      <c r="U600">
        <f t="shared" ca="1" si="117"/>
        <v>11</v>
      </c>
      <c r="V600" t="str">
        <f t="shared" ca="1" si="118"/>
        <v>Inefficient</v>
      </c>
      <c r="W600">
        <f t="shared" si="119"/>
        <v>186986.59</v>
      </c>
    </row>
    <row r="601" spans="1:23" x14ac:dyDescent="0.35">
      <c r="A601" t="s">
        <v>626</v>
      </c>
      <c r="B601" t="s">
        <v>20</v>
      </c>
      <c r="C601" s="1">
        <v>45151</v>
      </c>
      <c r="D601" s="1">
        <v>45154</v>
      </c>
      <c r="E601" t="s">
        <v>24</v>
      </c>
      <c r="F601" t="s">
        <v>18</v>
      </c>
      <c r="G601">
        <v>1062</v>
      </c>
      <c r="H601">
        <v>35.549999999999997</v>
      </c>
      <c r="I601">
        <v>32.380000000000003</v>
      </c>
      <c r="K601">
        <f t="shared" si="108"/>
        <v>1062</v>
      </c>
      <c r="L601" t="s">
        <v>15</v>
      </c>
      <c r="M601" s="1">
        <f t="shared" si="109"/>
        <v>45154</v>
      </c>
      <c r="N601" t="str">
        <f t="shared" ca="1" si="110"/>
        <v>Net 45</v>
      </c>
      <c r="O601">
        <f t="shared" ca="1" si="111"/>
        <v>45</v>
      </c>
      <c r="P601" s="1">
        <f t="shared" ca="1" si="112"/>
        <v>45199</v>
      </c>
      <c r="Q601" s="1">
        <f t="shared" ca="1" si="113"/>
        <v>45214</v>
      </c>
      <c r="R601">
        <f t="shared" ca="1" si="114"/>
        <v>60</v>
      </c>
      <c r="S601" t="str">
        <f t="shared" ca="1" si="115"/>
        <v>Late</v>
      </c>
      <c r="T601" t="str">
        <f t="shared" ca="1" si="116"/>
        <v>31-60</v>
      </c>
      <c r="U601">
        <f t="shared" ca="1" si="117"/>
        <v>15</v>
      </c>
      <c r="V601" t="str">
        <f t="shared" ca="1" si="118"/>
        <v>Inefficient</v>
      </c>
      <c r="W601">
        <f t="shared" si="119"/>
        <v>34387.560000000005</v>
      </c>
    </row>
    <row r="602" spans="1:23" x14ac:dyDescent="0.35">
      <c r="A602" t="s">
        <v>627</v>
      </c>
      <c r="B602" t="s">
        <v>12</v>
      </c>
      <c r="C602" s="1">
        <v>44761</v>
      </c>
      <c r="D602" s="1">
        <v>44772</v>
      </c>
      <c r="E602" t="s">
        <v>21</v>
      </c>
      <c r="F602" t="s">
        <v>18</v>
      </c>
      <c r="G602">
        <v>1714</v>
      </c>
      <c r="H602">
        <v>55.67</v>
      </c>
      <c r="I602">
        <v>55.09</v>
      </c>
      <c r="J602">
        <v>42</v>
      </c>
      <c r="K602">
        <f t="shared" si="108"/>
        <v>1672</v>
      </c>
      <c r="L602" t="s">
        <v>15</v>
      </c>
      <c r="M602" s="1">
        <f t="shared" si="109"/>
        <v>44772</v>
      </c>
      <c r="N602" t="str">
        <f t="shared" ca="1" si="110"/>
        <v>Net 15</v>
      </c>
      <c r="O602">
        <f t="shared" ca="1" si="111"/>
        <v>15</v>
      </c>
      <c r="P602" s="1">
        <f t="shared" ca="1" si="112"/>
        <v>44787</v>
      </c>
      <c r="Q602" s="1">
        <f t="shared" ca="1" si="113"/>
        <v>44802</v>
      </c>
      <c r="R602">
        <f t="shared" ca="1" si="114"/>
        <v>30</v>
      </c>
      <c r="S602" t="str">
        <f t="shared" ca="1" si="115"/>
        <v>Late</v>
      </c>
      <c r="T602" t="str">
        <f t="shared" ca="1" si="116"/>
        <v>0-30</v>
      </c>
      <c r="U602">
        <f t="shared" ca="1" si="117"/>
        <v>15</v>
      </c>
      <c r="V602" t="str">
        <f t="shared" ca="1" si="118"/>
        <v>Inefficient</v>
      </c>
      <c r="W602">
        <f t="shared" si="119"/>
        <v>94424.260000000009</v>
      </c>
    </row>
    <row r="603" spans="1:23" x14ac:dyDescent="0.35">
      <c r="A603" t="s">
        <v>628</v>
      </c>
      <c r="B603" t="s">
        <v>12</v>
      </c>
      <c r="C603" s="1">
        <v>45275</v>
      </c>
      <c r="D603" s="1">
        <v>45290</v>
      </c>
      <c r="E603" t="s">
        <v>13</v>
      </c>
      <c r="F603" t="s">
        <v>18</v>
      </c>
      <c r="G603">
        <v>1131</v>
      </c>
      <c r="H603">
        <v>33.35</v>
      </c>
      <c r="I603">
        <v>31.28</v>
      </c>
      <c r="J603">
        <v>23</v>
      </c>
      <c r="K603">
        <f t="shared" si="108"/>
        <v>1108</v>
      </c>
      <c r="L603" t="s">
        <v>15</v>
      </c>
      <c r="M603" s="1">
        <f t="shared" si="109"/>
        <v>45290</v>
      </c>
      <c r="N603" t="str">
        <f t="shared" ca="1" si="110"/>
        <v>Net 30</v>
      </c>
      <c r="O603">
        <f t="shared" ca="1" si="111"/>
        <v>30</v>
      </c>
      <c r="P603" s="1">
        <f t="shared" ca="1" si="112"/>
        <v>45320</v>
      </c>
      <c r="Q603" s="1">
        <f t="shared" ca="1" si="113"/>
        <v>45323</v>
      </c>
      <c r="R603">
        <f t="shared" ca="1" si="114"/>
        <v>33</v>
      </c>
      <c r="S603" t="str">
        <f t="shared" ca="1" si="115"/>
        <v>Late</v>
      </c>
      <c r="T603" t="str">
        <f t="shared" ca="1" si="116"/>
        <v>31-60</v>
      </c>
      <c r="U603">
        <f t="shared" ca="1" si="117"/>
        <v>3</v>
      </c>
      <c r="V603" t="str">
        <f t="shared" ca="1" si="118"/>
        <v>Inefficient</v>
      </c>
      <c r="W603">
        <f t="shared" si="119"/>
        <v>35377.68</v>
      </c>
    </row>
    <row r="604" spans="1:23" x14ac:dyDescent="0.35">
      <c r="A604" t="s">
        <v>629</v>
      </c>
      <c r="B604" t="s">
        <v>12</v>
      </c>
      <c r="C604" s="1">
        <v>44955</v>
      </c>
      <c r="D604" s="1">
        <v>44972</v>
      </c>
      <c r="E604" t="s">
        <v>13</v>
      </c>
      <c r="F604" t="s">
        <v>18</v>
      </c>
      <c r="G604">
        <v>683</v>
      </c>
      <c r="H604">
        <v>104.82</v>
      </c>
      <c r="I604">
        <v>101.34</v>
      </c>
      <c r="K604">
        <f t="shared" si="108"/>
        <v>683</v>
      </c>
      <c r="L604" t="s">
        <v>15</v>
      </c>
      <c r="M604" s="1">
        <f t="shared" si="109"/>
        <v>44972</v>
      </c>
      <c r="N604" t="str">
        <f t="shared" ca="1" si="110"/>
        <v>Net 45</v>
      </c>
      <c r="O604">
        <f t="shared" ca="1" si="111"/>
        <v>45</v>
      </c>
      <c r="P604" s="1">
        <f t="shared" ca="1" si="112"/>
        <v>45017</v>
      </c>
      <c r="Q604" s="1">
        <f t="shared" ca="1" si="113"/>
        <v>45015</v>
      </c>
      <c r="R604">
        <f t="shared" ca="1" si="114"/>
        <v>43</v>
      </c>
      <c r="S604" t="str">
        <f t="shared" ca="1" si="115"/>
        <v>On Time</v>
      </c>
      <c r="T604" t="str">
        <f t="shared" ca="1" si="116"/>
        <v>31-60</v>
      </c>
      <c r="U604">
        <f t="shared" ca="1" si="117"/>
        <v>0</v>
      </c>
      <c r="V604" t="str">
        <f t="shared" ca="1" si="118"/>
        <v>Efficient</v>
      </c>
      <c r="W604">
        <f t="shared" si="119"/>
        <v>69215.22</v>
      </c>
    </row>
    <row r="605" spans="1:23" x14ac:dyDescent="0.35">
      <c r="A605" t="s">
        <v>630</v>
      </c>
      <c r="B605" t="s">
        <v>20</v>
      </c>
      <c r="C605" s="1">
        <v>45068</v>
      </c>
      <c r="D605" s="1">
        <v>45086</v>
      </c>
      <c r="E605" t="s">
        <v>24</v>
      </c>
      <c r="F605" t="s">
        <v>33</v>
      </c>
      <c r="G605">
        <v>562</v>
      </c>
      <c r="H605">
        <v>102.56</v>
      </c>
      <c r="I605">
        <v>90.88</v>
      </c>
      <c r="J605">
        <v>38</v>
      </c>
      <c r="K605">
        <f t="shared" si="108"/>
        <v>524</v>
      </c>
      <c r="L605" t="s">
        <v>15</v>
      </c>
      <c r="M605" s="1">
        <f t="shared" si="109"/>
        <v>45086</v>
      </c>
      <c r="N605" t="str">
        <f t="shared" ca="1" si="110"/>
        <v>Net 30</v>
      </c>
      <c r="O605">
        <f t="shared" ca="1" si="111"/>
        <v>30</v>
      </c>
      <c r="P605" s="1">
        <f t="shared" ca="1" si="112"/>
        <v>45116</v>
      </c>
      <c r="Q605" s="1">
        <f t="shared" ca="1" si="113"/>
        <v>45132</v>
      </c>
      <c r="R605">
        <f t="shared" ca="1" si="114"/>
        <v>46</v>
      </c>
      <c r="S605" t="str">
        <f t="shared" ca="1" si="115"/>
        <v>Late</v>
      </c>
      <c r="T605" t="str">
        <f t="shared" ca="1" si="116"/>
        <v>31-60</v>
      </c>
      <c r="U605">
        <f t="shared" ca="1" si="117"/>
        <v>16</v>
      </c>
      <c r="V605" t="str">
        <f t="shared" ca="1" si="118"/>
        <v>Inefficient</v>
      </c>
      <c r="W605">
        <f t="shared" si="119"/>
        <v>51074.559999999998</v>
      </c>
    </row>
    <row r="606" spans="1:23" x14ac:dyDescent="0.35">
      <c r="A606" t="s">
        <v>631</v>
      </c>
      <c r="B606" t="s">
        <v>12</v>
      </c>
      <c r="C606" s="1">
        <v>44971</v>
      </c>
      <c r="D606" s="1">
        <v>44977</v>
      </c>
      <c r="E606" t="s">
        <v>39</v>
      </c>
      <c r="F606" t="s">
        <v>18</v>
      </c>
      <c r="G606">
        <v>1824</v>
      </c>
      <c r="H606">
        <v>14.43</v>
      </c>
      <c r="I606">
        <v>14.11</v>
      </c>
      <c r="J606">
        <v>36</v>
      </c>
      <c r="K606">
        <f t="shared" si="108"/>
        <v>1788</v>
      </c>
      <c r="L606" t="s">
        <v>15</v>
      </c>
      <c r="M606" s="1">
        <f t="shared" si="109"/>
        <v>44977</v>
      </c>
      <c r="N606" t="str">
        <f t="shared" ca="1" si="110"/>
        <v>Net 30</v>
      </c>
      <c r="O606">
        <f t="shared" ca="1" si="111"/>
        <v>30</v>
      </c>
      <c r="P606" s="1">
        <f t="shared" ca="1" si="112"/>
        <v>45007</v>
      </c>
      <c r="Q606" s="1">
        <f t="shared" ca="1" si="113"/>
        <v>45003</v>
      </c>
      <c r="R606">
        <f t="shared" ca="1" si="114"/>
        <v>26</v>
      </c>
      <c r="S606" t="str">
        <f t="shared" ca="1" si="115"/>
        <v>On Time</v>
      </c>
      <c r="T606" t="str">
        <f t="shared" ca="1" si="116"/>
        <v>0-30</v>
      </c>
      <c r="U606">
        <f t="shared" ca="1" si="117"/>
        <v>0</v>
      </c>
      <c r="V606" t="str">
        <f t="shared" ca="1" si="118"/>
        <v>Efficient</v>
      </c>
      <c r="W606">
        <f t="shared" si="119"/>
        <v>25736.639999999999</v>
      </c>
    </row>
    <row r="607" spans="1:23" x14ac:dyDescent="0.35">
      <c r="A607" t="s">
        <v>632</v>
      </c>
      <c r="B607" t="s">
        <v>23</v>
      </c>
      <c r="C607" s="1">
        <v>44811</v>
      </c>
      <c r="D607" s="1">
        <v>44816</v>
      </c>
      <c r="E607" t="s">
        <v>39</v>
      </c>
      <c r="F607" t="s">
        <v>33</v>
      </c>
      <c r="G607">
        <v>851</v>
      </c>
      <c r="H607">
        <v>76.44</v>
      </c>
      <c r="I607">
        <v>74.760000000000005</v>
      </c>
      <c r="J607">
        <v>91</v>
      </c>
      <c r="K607">
        <f t="shared" si="108"/>
        <v>760</v>
      </c>
      <c r="L607" t="s">
        <v>15</v>
      </c>
      <c r="M607" s="1">
        <f t="shared" si="109"/>
        <v>44816</v>
      </c>
      <c r="N607" t="str">
        <f t="shared" ca="1" si="110"/>
        <v>Net 15</v>
      </c>
      <c r="O607">
        <f t="shared" ca="1" si="111"/>
        <v>15</v>
      </c>
      <c r="P607" s="1">
        <f t="shared" ca="1" si="112"/>
        <v>44831</v>
      </c>
      <c r="Q607" s="1">
        <f t="shared" ca="1" si="113"/>
        <v>44833</v>
      </c>
      <c r="R607">
        <f t="shared" ca="1" si="114"/>
        <v>17</v>
      </c>
      <c r="S607" t="str">
        <f t="shared" ca="1" si="115"/>
        <v>Late</v>
      </c>
      <c r="T607" t="str">
        <f t="shared" ca="1" si="116"/>
        <v>0-30</v>
      </c>
      <c r="U607">
        <f t="shared" ca="1" si="117"/>
        <v>2</v>
      </c>
      <c r="V607" t="str">
        <f t="shared" ca="1" si="118"/>
        <v>Inefficient</v>
      </c>
      <c r="W607">
        <f t="shared" si="119"/>
        <v>63620.76</v>
      </c>
    </row>
    <row r="608" spans="1:23" x14ac:dyDescent="0.35">
      <c r="A608" t="s">
        <v>633</v>
      </c>
      <c r="B608" t="s">
        <v>23</v>
      </c>
      <c r="C608" s="1">
        <v>44713</v>
      </c>
      <c r="D608" s="1">
        <v>44715</v>
      </c>
      <c r="E608" t="s">
        <v>13</v>
      </c>
      <c r="F608" t="s">
        <v>18</v>
      </c>
      <c r="G608">
        <v>1169</v>
      </c>
      <c r="H608">
        <v>95.6</v>
      </c>
      <c r="I608">
        <v>82.16</v>
      </c>
      <c r="J608">
        <v>103</v>
      </c>
      <c r="K608">
        <f t="shared" si="108"/>
        <v>1066</v>
      </c>
      <c r="L608" t="s">
        <v>15</v>
      </c>
      <c r="M608" s="1">
        <f t="shared" si="109"/>
        <v>44715</v>
      </c>
      <c r="N608" t="str">
        <f t="shared" ca="1" si="110"/>
        <v>Net 15</v>
      </c>
      <c r="O608">
        <f t="shared" ca="1" si="111"/>
        <v>15</v>
      </c>
      <c r="P608" s="1">
        <f t="shared" ca="1" si="112"/>
        <v>44730</v>
      </c>
      <c r="Q608" s="1">
        <f t="shared" ca="1" si="113"/>
        <v>44738</v>
      </c>
      <c r="R608">
        <f t="shared" ca="1" si="114"/>
        <v>23</v>
      </c>
      <c r="S608" t="str">
        <f t="shared" ca="1" si="115"/>
        <v>Late</v>
      </c>
      <c r="T608" t="str">
        <f t="shared" ca="1" si="116"/>
        <v>0-30</v>
      </c>
      <c r="U608">
        <f t="shared" ca="1" si="117"/>
        <v>8</v>
      </c>
      <c r="V608" t="str">
        <f t="shared" ca="1" si="118"/>
        <v>Inefficient</v>
      </c>
      <c r="W608">
        <f t="shared" si="119"/>
        <v>96045.04</v>
      </c>
    </row>
    <row r="609" spans="1:23" x14ac:dyDescent="0.35">
      <c r="A609" t="s">
        <v>634</v>
      </c>
      <c r="B609" t="s">
        <v>29</v>
      </c>
      <c r="C609" s="1">
        <v>45233</v>
      </c>
      <c r="D609" s="1">
        <v>45250</v>
      </c>
      <c r="E609" t="s">
        <v>21</v>
      </c>
      <c r="F609" t="s">
        <v>18</v>
      </c>
      <c r="G609">
        <v>1711</v>
      </c>
      <c r="H609">
        <v>29.14</v>
      </c>
      <c r="I609">
        <v>26.35</v>
      </c>
      <c r="J609">
        <v>48</v>
      </c>
      <c r="K609">
        <f t="shared" si="108"/>
        <v>1663</v>
      </c>
      <c r="L609" t="s">
        <v>15</v>
      </c>
      <c r="M609" s="1">
        <f t="shared" si="109"/>
        <v>45250</v>
      </c>
      <c r="N609" t="str">
        <f t="shared" ca="1" si="110"/>
        <v>Net 45</v>
      </c>
      <c r="O609">
        <f t="shared" ca="1" si="111"/>
        <v>45</v>
      </c>
      <c r="P609" s="1">
        <f t="shared" ca="1" si="112"/>
        <v>45295</v>
      </c>
      <c r="Q609" s="1">
        <f t="shared" ca="1" si="113"/>
        <v>45300</v>
      </c>
      <c r="R609">
        <f t="shared" ca="1" si="114"/>
        <v>50</v>
      </c>
      <c r="S609" t="str">
        <f t="shared" ca="1" si="115"/>
        <v>Late</v>
      </c>
      <c r="T609" t="str">
        <f t="shared" ca="1" si="116"/>
        <v>31-60</v>
      </c>
      <c r="U609">
        <f t="shared" ca="1" si="117"/>
        <v>5</v>
      </c>
      <c r="V609" t="str">
        <f t="shared" ca="1" si="118"/>
        <v>Inefficient</v>
      </c>
      <c r="W609">
        <f t="shared" si="119"/>
        <v>45084.850000000006</v>
      </c>
    </row>
    <row r="610" spans="1:23" x14ac:dyDescent="0.35">
      <c r="A610" t="s">
        <v>635</v>
      </c>
      <c r="B610" t="s">
        <v>23</v>
      </c>
      <c r="C610" s="1">
        <v>45266</v>
      </c>
      <c r="D610" s="1">
        <v>45272</v>
      </c>
      <c r="E610" t="s">
        <v>24</v>
      </c>
      <c r="F610" t="s">
        <v>35</v>
      </c>
      <c r="G610">
        <v>1191</v>
      </c>
      <c r="H610">
        <v>68.14</v>
      </c>
      <c r="I610">
        <v>61.71</v>
      </c>
      <c r="J610">
        <v>112</v>
      </c>
      <c r="K610">
        <f t="shared" si="108"/>
        <v>1079</v>
      </c>
      <c r="L610" t="s">
        <v>15</v>
      </c>
      <c r="M610" s="1">
        <f t="shared" si="109"/>
        <v>45272</v>
      </c>
      <c r="N610" t="str">
        <f t="shared" ca="1" si="110"/>
        <v>Net 15</v>
      </c>
      <c r="O610">
        <f t="shared" ca="1" si="111"/>
        <v>15</v>
      </c>
      <c r="P610" s="1">
        <f t="shared" ca="1" si="112"/>
        <v>45287</v>
      </c>
      <c r="Q610" s="1">
        <f t="shared" ca="1" si="113"/>
        <v>45306</v>
      </c>
      <c r="R610">
        <f t="shared" ca="1" si="114"/>
        <v>34</v>
      </c>
      <c r="S610" t="str">
        <f t="shared" ca="1" si="115"/>
        <v>Late</v>
      </c>
      <c r="T610" t="str">
        <f t="shared" ca="1" si="116"/>
        <v>31-60</v>
      </c>
      <c r="U610">
        <f t="shared" ca="1" si="117"/>
        <v>19</v>
      </c>
      <c r="V610" t="str">
        <f t="shared" ca="1" si="118"/>
        <v>Inefficient</v>
      </c>
      <c r="W610">
        <f t="shared" si="119"/>
        <v>73496.61</v>
      </c>
    </row>
    <row r="611" spans="1:23" x14ac:dyDescent="0.35">
      <c r="A611" t="s">
        <v>636</v>
      </c>
      <c r="B611" t="s">
        <v>29</v>
      </c>
      <c r="C611" s="1">
        <v>44567</v>
      </c>
      <c r="D611" s="1">
        <v>44575</v>
      </c>
      <c r="E611" t="s">
        <v>39</v>
      </c>
      <c r="F611" t="s">
        <v>18</v>
      </c>
      <c r="G611">
        <v>609</v>
      </c>
      <c r="H611">
        <v>92.39</v>
      </c>
      <c r="I611">
        <v>82.75</v>
      </c>
      <c r="J611">
        <v>29</v>
      </c>
      <c r="K611">
        <f t="shared" si="108"/>
        <v>580</v>
      </c>
      <c r="L611" t="s">
        <v>15</v>
      </c>
      <c r="M611" s="1">
        <f t="shared" si="109"/>
        <v>44575</v>
      </c>
      <c r="N611" t="str">
        <f t="shared" ca="1" si="110"/>
        <v>Net 30</v>
      </c>
      <c r="O611">
        <f t="shared" ca="1" si="111"/>
        <v>30</v>
      </c>
      <c r="P611" s="1">
        <f t="shared" ca="1" si="112"/>
        <v>44605</v>
      </c>
      <c r="Q611" s="1">
        <f t="shared" ca="1" si="113"/>
        <v>44618</v>
      </c>
      <c r="R611">
        <f t="shared" ca="1" si="114"/>
        <v>43</v>
      </c>
      <c r="S611" t="str">
        <f t="shared" ca="1" si="115"/>
        <v>Late</v>
      </c>
      <c r="T611" t="str">
        <f t="shared" ca="1" si="116"/>
        <v>31-60</v>
      </c>
      <c r="U611">
        <f t="shared" ca="1" si="117"/>
        <v>13</v>
      </c>
      <c r="V611" t="str">
        <f t="shared" ca="1" si="118"/>
        <v>Inefficient</v>
      </c>
      <c r="W611">
        <f t="shared" si="119"/>
        <v>50394.75</v>
      </c>
    </row>
    <row r="612" spans="1:23" x14ac:dyDescent="0.35">
      <c r="A612" t="s">
        <v>637</v>
      </c>
      <c r="B612" t="s">
        <v>23</v>
      </c>
      <c r="C612" s="1">
        <v>44671</v>
      </c>
      <c r="D612" s="1">
        <v>44688</v>
      </c>
      <c r="E612" t="s">
        <v>13</v>
      </c>
      <c r="F612" t="s">
        <v>18</v>
      </c>
      <c r="G612">
        <v>1674</v>
      </c>
      <c r="H612">
        <v>13.25</v>
      </c>
      <c r="I612">
        <v>11.77</v>
      </c>
      <c r="J612">
        <v>181</v>
      </c>
      <c r="K612">
        <f t="shared" si="108"/>
        <v>1493</v>
      </c>
      <c r="L612" t="s">
        <v>15</v>
      </c>
      <c r="M612" s="1">
        <f t="shared" si="109"/>
        <v>44688</v>
      </c>
      <c r="N612" t="str">
        <f t="shared" ca="1" si="110"/>
        <v>Net 30</v>
      </c>
      <c r="O612">
        <f t="shared" ca="1" si="111"/>
        <v>30</v>
      </c>
      <c r="P612" s="1">
        <f t="shared" ca="1" si="112"/>
        <v>44718</v>
      </c>
      <c r="Q612" s="1">
        <f t="shared" ca="1" si="113"/>
        <v>44715</v>
      </c>
      <c r="R612">
        <f t="shared" ca="1" si="114"/>
        <v>27</v>
      </c>
      <c r="S612" t="str">
        <f t="shared" ca="1" si="115"/>
        <v>On Time</v>
      </c>
      <c r="T612" t="str">
        <f t="shared" ca="1" si="116"/>
        <v>0-30</v>
      </c>
      <c r="U612">
        <f t="shared" ca="1" si="117"/>
        <v>0</v>
      </c>
      <c r="V612" t="str">
        <f t="shared" ca="1" si="118"/>
        <v>Efficient</v>
      </c>
      <c r="W612">
        <f t="shared" si="119"/>
        <v>19702.98</v>
      </c>
    </row>
    <row r="613" spans="1:23" x14ac:dyDescent="0.35">
      <c r="A613" t="s">
        <v>638</v>
      </c>
      <c r="B613" t="s">
        <v>20</v>
      </c>
      <c r="C613" s="1">
        <v>44997</v>
      </c>
      <c r="D613" s="1">
        <v>45000</v>
      </c>
      <c r="E613" t="s">
        <v>21</v>
      </c>
      <c r="F613" t="s">
        <v>18</v>
      </c>
      <c r="G613">
        <v>537</v>
      </c>
      <c r="H613">
        <v>77.86</v>
      </c>
      <c r="I613">
        <v>71.180000000000007</v>
      </c>
      <c r="J613">
        <v>20</v>
      </c>
      <c r="K613">
        <f t="shared" si="108"/>
        <v>517</v>
      </c>
      <c r="L613" t="s">
        <v>15</v>
      </c>
      <c r="M613" s="1">
        <f t="shared" si="109"/>
        <v>45000</v>
      </c>
      <c r="N613" t="str">
        <f t="shared" ca="1" si="110"/>
        <v>Net 45</v>
      </c>
      <c r="O613">
        <f t="shared" ca="1" si="111"/>
        <v>45</v>
      </c>
      <c r="P613" s="1">
        <f t="shared" ca="1" si="112"/>
        <v>45045</v>
      </c>
      <c r="Q613" s="1">
        <f t="shared" ca="1" si="113"/>
        <v>45043</v>
      </c>
      <c r="R613">
        <f t="shared" ca="1" si="114"/>
        <v>43</v>
      </c>
      <c r="S613" t="str">
        <f t="shared" ca="1" si="115"/>
        <v>On Time</v>
      </c>
      <c r="T613" t="str">
        <f t="shared" ca="1" si="116"/>
        <v>31-60</v>
      </c>
      <c r="U613">
        <f t="shared" ca="1" si="117"/>
        <v>0</v>
      </c>
      <c r="V613" t="str">
        <f t="shared" ca="1" si="118"/>
        <v>Efficient</v>
      </c>
      <c r="W613">
        <f t="shared" si="119"/>
        <v>38223.660000000003</v>
      </c>
    </row>
    <row r="614" spans="1:23" x14ac:dyDescent="0.35">
      <c r="A614" t="s">
        <v>639</v>
      </c>
      <c r="B614" t="s">
        <v>29</v>
      </c>
      <c r="C614" s="1">
        <v>44786</v>
      </c>
      <c r="D614" s="1">
        <v>44804</v>
      </c>
      <c r="E614" t="s">
        <v>39</v>
      </c>
      <c r="F614" t="s">
        <v>18</v>
      </c>
      <c r="G614">
        <v>1310</v>
      </c>
      <c r="H614">
        <v>38.049999999999997</v>
      </c>
      <c r="I614">
        <v>37</v>
      </c>
      <c r="J614">
        <v>45</v>
      </c>
      <c r="K614">
        <f t="shared" si="108"/>
        <v>1265</v>
      </c>
      <c r="L614" t="s">
        <v>15</v>
      </c>
      <c r="M614" s="1">
        <f t="shared" si="109"/>
        <v>44804</v>
      </c>
      <c r="N614" t="str">
        <f t="shared" ca="1" si="110"/>
        <v>Net 15</v>
      </c>
      <c r="O614">
        <f t="shared" ca="1" si="111"/>
        <v>15</v>
      </c>
      <c r="P614" s="1">
        <f t="shared" ca="1" si="112"/>
        <v>44819</v>
      </c>
      <c r="Q614" s="1">
        <f t="shared" ca="1" si="113"/>
        <v>44814</v>
      </c>
      <c r="R614">
        <f t="shared" ca="1" si="114"/>
        <v>10</v>
      </c>
      <c r="S614" t="str">
        <f t="shared" ca="1" si="115"/>
        <v>On Time</v>
      </c>
      <c r="T614" t="str">
        <f t="shared" ca="1" si="116"/>
        <v>0-30</v>
      </c>
      <c r="U614">
        <f t="shared" ca="1" si="117"/>
        <v>0</v>
      </c>
      <c r="V614" t="str">
        <f t="shared" ca="1" si="118"/>
        <v>Efficient</v>
      </c>
      <c r="W614">
        <f t="shared" si="119"/>
        <v>48470</v>
      </c>
    </row>
    <row r="615" spans="1:23" x14ac:dyDescent="0.35">
      <c r="A615" t="s">
        <v>640</v>
      </c>
      <c r="B615" t="s">
        <v>17</v>
      </c>
      <c r="C615" s="1">
        <v>44742</v>
      </c>
      <c r="D615" s="1">
        <v>44752</v>
      </c>
      <c r="E615" t="s">
        <v>26</v>
      </c>
      <c r="F615" t="s">
        <v>18</v>
      </c>
      <c r="G615">
        <v>1958</v>
      </c>
      <c r="H615">
        <v>95.53</v>
      </c>
      <c r="I615">
        <v>91.72</v>
      </c>
      <c r="J615">
        <v>308</v>
      </c>
      <c r="K615">
        <f t="shared" si="108"/>
        <v>1650</v>
      </c>
      <c r="L615" t="s">
        <v>15</v>
      </c>
      <c r="M615" s="1">
        <f t="shared" si="109"/>
        <v>44752</v>
      </c>
      <c r="N615" t="str">
        <f t="shared" ca="1" si="110"/>
        <v>Net 45</v>
      </c>
      <c r="O615">
        <f t="shared" ca="1" si="111"/>
        <v>45</v>
      </c>
      <c r="P615" s="1">
        <f t="shared" ca="1" si="112"/>
        <v>44797</v>
      </c>
      <c r="Q615" s="1">
        <f t="shared" ca="1" si="113"/>
        <v>44792</v>
      </c>
      <c r="R615">
        <f t="shared" ca="1" si="114"/>
        <v>40</v>
      </c>
      <c r="S615" t="str">
        <f t="shared" ca="1" si="115"/>
        <v>On Time</v>
      </c>
      <c r="T615" t="str">
        <f t="shared" ca="1" si="116"/>
        <v>31-60</v>
      </c>
      <c r="U615">
        <f t="shared" ca="1" si="117"/>
        <v>0</v>
      </c>
      <c r="V615" t="str">
        <f t="shared" ca="1" si="118"/>
        <v>Efficient</v>
      </c>
      <c r="W615">
        <f t="shared" si="119"/>
        <v>179587.76</v>
      </c>
    </row>
    <row r="616" spans="1:23" x14ac:dyDescent="0.35">
      <c r="A616" t="s">
        <v>641</v>
      </c>
      <c r="B616" t="s">
        <v>17</v>
      </c>
      <c r="C616" s="1">
        <v>45274</v>
      </c>
      <c r="D616" s="1">
        <v>45277</v>
      </c>
      <c r="E616" t="s">
        <v>13</v>
      </c>
      <c r="F616" t="s">
        <v>18</v>
      </c>
      <c r="G616">
        <v>946</v>
      </c>
      <c r="H616">
        <v>108.6</v>
      </c>
      <c r="I616">
        <v>101.78</v>
      </c>
      <c r="J616">
        <v>146</v>
      </c>
      <c r="K616">
        <f t="shared" si="108"/>
        <v>800</v>
      </c>
      <c r="L616" t="s">
        <v>15</v>
      </c>
      <c r="M616" s="1">
        <f t="shared" si="109"/>
        <v>45277</v>
      </c>
      <c r="N616" t="str">
        <f t="shared" ca="1" si="110"/>
        <v>Net 45</v>
      </c>
      <c r="O616">
        <f t="shared" ca="1" si="111"/>
        <v>45</v>
      </c>
      <c r="P616" s="1">
        <f t="shared" ca="1" si="112"/>
        <v>45322</v>
      </c>
      <c r="Q616" s="1">
        <f t="shared" ca="1" si="113"/>
        <v>45342</v>
      </c>
      <c r="R616">
        <f t="shared" ca="1" si="114"/>
        <v>65</v>
      </c>
      <c r="S616" t="str">
        <f t="shared" ca="1" si="115"/>
        <v>Late</v>
      </c>
      <c r="T616" t="str">
        <f t="shared" ca="1" si="116"/>
        <v>61-90</v>
      </c>
      <c r="U616">
        <f t="shared" ca="1" si="117"/>
        <v>20</v>
      </c>
      <c r="V616" t="str">
        <f t="shared" ca="1" si="118"/>
        <v>Inefficient</v>
      </c>
      <c r="W616">
        <f t="shared" si="119"/>
        <v>96283.88</v>
      </c>
    </row>
    <row r="617" spans="1:23" x14ac:dyDescent="0.35">
      <c r="A617" t="s">
        <v>642</v>
      </c>
      <c r="B617" t="s">
        <v>23</v>
      </c>
      <c r="C617" s="1">
        <v>45092</v>
      </c>
      <c r="D617" s="1">
        <v>45098</v>
      </c>
      <c r="E617" t="s">
        <v>24</v>
      </c>
      <c r="F617" t="s">
        <v>33</v>
      </c>
      <c r="G617">
        <v>1345</v>
      </c>
      <c r="H617">
        <v>103.06</v>
      </c>
      <c r="I617">
        <v>95.14</v>
      </c>
      <c r="K617">
        <f t="shared" si="108"/>
        <v>1345</v>
      </c>
      <c r="L617" t="s">
        <v>15</v>
      </c>
      <c r="M617" s="1">
        <f t="shared" si="109"/>
        <v>45098</v>
      </c>
      <c r="N617" t="str">
        <f t="shared" ca="1" si="110"/>
        <v>Net 15</v>
      </c>
      <c r="O617">
        <f t="shared" ca="1" si="111"/>
        <v>15</v>
      </c>
      <c r="P617" s="1">
        <f t="shared" ca="1" si="112"/>
        <v>45113</v>
      </c>
      <c r="Q617" s="1">
        <f t="shared" ca="1" si="113"/>
        <v>45127</v>
      </c>
      <c r="R617">
        <f t="shared" ca="1" si="114"/>
        <v>29</v>
      </c>
      <c r="S617" t="str">
        <f t="shared" ca="1" si="115"/>
        <v>Late</v>
      </c>
      <c r="T617" t="str">
        <f t="shared" ca="1" si="116"/>
        <v>0-30</v>
      </c>
      <c r="U617">
        <f t="shared" ca="1" si="117"/>
        <v>14</v>
      </c>
      <c r="V617" t="str">
        <f t="shared" ca="1" si="118"/>
        <v>Inefficient</v>
      </c>
      <c r="W617">
        <f t="shared" si="119"/>
        <v>127963.3</v>
      </c>
    </row>
    <row r="618" spans="1:23" x14ac:dyDescent="0.35">
      <c r="A618" t="s">
        <v>643</v>
      </c>
      <c r="B618" t="s">
        <v>17</v>
      </c>
      <c r="C618" s="1">
        <v>45037</v>
      </c>
      <c r="D618" s="1">
        <v>45056</v>
      </c>
      <c r="E618" t="s">
        <v>21</v>
      </c>
      <c r="F618" t="s">
        <v>18</v>
      </c>
      <c r="G618">
        <v>1262</v>
      </c>
      <c r="H618">
        <v>56.63</v>
      </c>
      <c r="I618">
        <v>51.46</v>
      </c>
      <c r="K618">
        <f t="shared" si="108"/>
        <v>1262</v>
      </c>
      <c r="L618" t="s">
        <v>27</v>
      </c>
      <c r="M618" s="1">
        <f t="shared" si="109"/>
        <v>45056</v>
      </c>
      <c r="N618" t="str">
        <f t="shared" ca="1" si="110"/>
        <v>Net 30</v>
      </c>
      <c r="O618">
        <f t="shared" ca="1" si="111"/>
        <v>30</v>
      </c>
      <c r="P618" s="1">
        <f t="shared" ca="1" si="112"/>
        <v>45086</v>
      </c>
      <c r="Q618" s="1">
        <f t="shared" ca="1" si="113"/>
        <v>45098</v>
      </c>
      <c r="R618">
        <f t="shared" ca="1" si="114"/>
        <v>42</v>
      </c>
      <c r="S618" t="str">
        <f t="shared" ca="1" si="115"/>
        <v>Late</v>
      </c>
      <c r="T618" t="str">
        <f t="shared" ca="1" si="116"/>
        <v>31-60</v>
      </c>
      <c r="U618">
        <f t="shared" ca="1" si="117"/>
        <v>12</v>
      </c>
      <c r="V618" t="str">
        <f t="shared" ca="1" si="118"/>
        <v>Inefficient</v>
      </c>
      <c r="W618">
        <f t="shared" si="119"/>
        <v>64942.520000000004</v>
      </c>
    </row>
    <row r="619" spans="1:23" x14ac:dyDescent="0.35">
      <c r="A619" t="s">
        <v>644</v>
      </c>
      <c r="B619" t="s">
        <v>23</v>
      </c>
      <c r="C619" s="1">
        <v>44613</v>
      </c>
      <c r="D619" s="1">
        <v>44633</v>
      </c>
      <c r="E619" t="s">
        <v>13</v>
      </c>
      <c r="F619" t="s">
        <v>35</v>
      </c>
      <c r="G619">
        <v>753</v>
      </c>
      <c r="H619">
        <v>88.02</v>
      </c>
      <c r="I619">
        <v>79.92</v>
      </c>
      <c r="J619">
        <v>75</v>
      </c>
      <c r="K619">
        <f t="shared" si="108"/>
        <v>678</v>
      </c>
      <c r="L619" t="s">
        <v>15</v>
      </c>
      <c r="M619" s="1">
        <f t="shared" si="109"/>
        <v>44633</v>
      </c>
      <c r="N619" t="str">
        <f t="shared" ca="1" si="110"/>
        <v>Net 15</v>
      </c>
      <c r="O619">
        <f t="shared" ca="1" si="111"/>
        <v>15</v>
      </c>
      <c r="P619" s="1">
        <f t="shared" ca="1" si="112"/>
        <v>44648</v>
      </c>
      <c r="Q619" s="1">
        <f t="shared" ca="1" si="113"/>
        <v>44668</v>
      </c>
      <c r="R619">
        <f t="shared" ca="1" si="114"/>
        <v>35</v>
      </c>
      <c r="S619" t="str">
        <f t="shared" ca="1" si="115"/>
        <v>Late</v>
      </c>
      <c r="T619" t="str">
        <f t="shared" ca="1" si="116"/>
        <v>31-60</v>
      </c>
      <c r="U619">
        <f t="shared" ca="1" si="117"/>
        <v>20</v>
      </c>
      <c r="V619" t="str">
        <f t="shared" ca="1" si="118"/>
        <v>Inefficient</v>
      </c>
      <c r="W619">
        <f t="shared" si="119"/>
        <v>60179.76</v>
      </c>
    </row>
    <row r="620" spans="1:23" x14ac:dyDescent="0.35">
      <c r="A620" t="s">
        <v>645</v>
      </c>
      <c r="B620" t="s">
        <v>23</v>
      </c>
      <c r="C620" s="1">
        <v>45132</v>
      </c>
      <c r="D620" s="1">
        <v>45152</v>
      </c>
      <c r="E620" t="s">
        <v>39</v>
      </c>
      <c r="F620" t="s">
        <v>18</v>
      </c>
      <c r="G620">
        <v>1520</v>
      </c>
      <c r="H620">
        <v>93.75</v>
      </c>
      <c r="I620">
        <v>81.63</v>
      </c>
      <c r="J620">
        <v>149</v>
      </c>
      <c r="K620">
        <f t="shared" si="108"/>
        <v>1371</v>
      </c>
      <c r="L620" t="s">
        <v>15</v>
      </c>
      <c r="M620" s="1">
        <f t="shared" si="109"/>
        <v>45152</v>
      </c>
      <c r="N620" t="str">
        <f t="shared" ca="1" si="110"/>
        <v>Net 30</v>
      </c>
      <c r="O620">
        <f t="shared" ca="1" si="111"/>
        <v>30</v>
      </c>
      <c r="P620" s="1">
        <f t="shared" ca="1" si="112"/>
        <v>45182</v>
      </c>
      <c r="Q620" s="1">
        <f t="shared" ca="1" si="113"/>
        <v>45180</v>
      </c>
      <c r="R620">
        <f t="shared" ca="1" si="114"/>
        <v>28</v>
      </c>
      <c r="S620" t="str">
        <f t="shared" ca="1" si="115"/>
        <v>On Time</v>
      </c>
      <c r="T620" t="str">
        <f t="shared" ca="1" si="116"/>
        <v>0-30</v>
      </c>
      <c r="U620">
        <f t="shared" ca="1" si="117"/>
        <v>0</v>
      </c>
      <c r="V620" t="str">
        <f t="shared" ca="1" si="118"/>
        <v>Efficient</v>
      </c>
      <c r="W620">
        <f t="shared" si="119"/>
        <v>124077.59999999999</v>
      </c>
    </row>
    <row r="621" spans="1:23" x14ac:dyDescent="0.35">
      <c r="A621" t="s">
        <v>646</v>
      </c>
      <c r="B621" t="s">
        <v>17</v>
      </c>
      <c r="C621" s="1">
        <v>44817</v>
      </c>
      <c r="D621" s="1">
        <v>44836</v>
      </c>
      <c r="E621" t="s">
        <v>13</v>
      </c>
      <c r="F621" t="s">
        <v>18</v>
      </c>
      <c r="G621">
        <v>630</v>
      </c>
      <c r="H621">
        <v>40.270000000000003</v>
      </c>
      <c r="I621">
        <v>37.54</v>
      </c>
      <c r="J621">
        <v>76</v>
      </c>
      <c r="K621">
        <f t="shared" si="108"/>
        <v>554</v>
      </c>
      <c r="L621" t="s">
        <v>15</v>
      </c>
      <c r="M621" s="1">
        <f t="shared" si="109"/>
        <v>44836</v>
      </c>
      <c r="N621" t="str">
        <f t="shared" ca="1" si="110"/>
        <v>Net 15</v>
      </c>
      <c r="O621">
        <f t="shared" ca="1" si="111"/>
        <v>15</v>
      </c>
      <c r="P621" s="1">
        <f t="shared" ca="1" si="112"/>
        <v>44851</v>
      </c>
      <c r="Q621" s="1">
        <f t="shared" ca="1" si="113"/>
        <v>44865</v>
      </c>
      <c r="R621">
        <f t="shared" ca="1" si="114"/>
        <v>29</v>
      </c>
      <c r="S621" t="str">
        <f t="shared" ca="1" si="115"/>
        <v>Late</v>
      </c>
      <c r="T621" t="str">
        <f t="shared" ca="1" si="116"/>
        <v>0-30</v>
      </c>
      <c r="U621">
        <f t="shared" ca="1" si="117"/>
        <v>14</v>
      </c>
      <c r="V621" t="str">
        <f t="shared" ca="1" si="118"/>
        <v>Inefficient</v>
      </c>
      <c r="W621">
        <f t="shared" si="119"/>
        <v>23650.2</v>
      </c>
    </row>
    <row r="622" spans="1:23" x14ac:dyDescent="0.35">
      <c r="A622" t="s">
        <v>647</v>
      </c>
      <c r="B622" t="s">
        <v>17</v>
      </c>
      <c r="C622" s="1">
        <v>44686</v>
      </c>
      <c r="D622" s="1">
        <v>44687</v>
      </c>
      <c r="E622" t="s">
        <v>13</v>
      </c>
      <c r="F622" t="s">
        <v>18</v>
      </c>
      <c r="G622">
        <v>839</v>
      </c>
      <c r="H622">
        <v>86.29</v>
      </c>
      <c r="I622">
        <v>82.51</v>
      </c>
      <c r="J622">
        <v>110</v>
      </c>
      <c r="K622">
        <f t="shared" si="108"/>
        <v>729</v>
      </c>
      <c r="L622" t="s">
        <v>15</v>
      </c>
      <c r="M622" s="1">
        <f t="shared" si="109"/>
        <v>44687</v>
      </c>
      <c r="N622" t="str">
        <f t="shared" ca="1" si="110"/>
        <v>Net 30</v>
      </c>
      <c r="O622">
        <f t="shared" ca="1" si="111"/>
        <v>30</v>
      </c>
      <c r="P622" s="1">
        <f t="shared" ca="1" si="112"/>
        <v>44717</v>
      </c>
      <c r="Q622" s="1">
        <f t="shared" ca="1" si="113"/>
        <v>44726</v>
      </c>
      <c r="R622">
        <f t="shared" ca="1" si="114"/>
        <v>39</v>
      </c>
      <c r="S622" t="str">
        <f t="shared" ca="1" si="115"/>
        <v>Late</v>
      </c>
      <c r="T622" t="str">
        <f t="shared" ca="1" si="116"/>
        <v>31-60</v>
      </c>
      <c r="U622">
        <f t="shared" ca="1" si="117"/>
        <v>9</v>
      </c>
      <c r="V622" t="str">
        <f t="shared" ca="1" si="118"/>
        <v>Inefficient</v>
      </c>
      <c r="W622">
        <f t="shared" si="119"/>
        <v>69225.89</v>
      </c>
    </row>
    <row r="623" spans="1:23" x14ac:dyDescent="0.35">
      <c r="A623" t="s">
        <v>648</v>
      </c>
      <c r="B623" t="s">
        <v>12</v>
      </c>
      <c r="C623" s="1">
        <v>45029</v>
      </c>
      <c r="D623" s="1">
        <v>45048</v>
      </c>
      <c r="E623" t="s">
        <v>39</v>
      </c>
      <c r="F623" t="s">
        <v>18</v>
      </c>
      <c r="G623">
        <v>910</v>
      </c>
      <c r="H623">
        <v>14.33</v>
      </c>
      <c r="I623">
        <v>14.07</v>
      </c>
      <c r="J623">
        <v>27</v>
      </c>
      <c r="K623">
        <f t="shared" si="108"/>
        <v>883</v>
      </c>
      <c r="L623" t="s">
        <v>15</v>
      </c>
      <c r="M623" s="1">
        <f t="shared" si="109"/>
        <v>45048</v>
      </c>
      <c r="N623" t="str">
        <f t="shared" ca="1" si="110"/>
        <v>Net 45</v>
      </c>
      <c r="O623">
        <f t="shared" ca="1" si="111"/>
        <v>45</v>
      </c>
      <c r="P623" s="1">
        <f t="shared" ca="1" si="112"/>
        <v>45093</v>
      </c>
      <c r="Q623" s="1">
        <f t="shared" ca="1" si="113"/>
        <v>45111</v>
      </c>
      <c r="R623">
        <f t="shared" ca="1" si="114"/>
        <v>63</v>
      </c>
      <c r="S623" t="str">
        <f t="shared" ca="1" si="115"/>
        <v>Late</v>
      </c>
      <c r="T623" t="str">
        <f t="shared" ca="1" si="116"/>
        <v>61-90</v>
      </c>
      <c r="U623">
        <f t="shared" ca="1" si="117"/>
        <v>18</v>
      </c>
      <c r="V623" t="str">
        <f t="shared" ca="1" si="118"/>
        <v>Inefficient</v>
      </c>
      <c r="W623">
        <f t="shared" si="119"/>
        <v>12803.7</v>
      </c>
    </row>
    <row r="624" spans="1:23" x14ac:dyDescent="0.35">
      <c r="A624" t="s">
        <v>649</v>
      </c>
      <c r="B624" t="s">
        <v>29</v>
      </c>
      <c r="C624" s="1">
        <v>44698</v>
      </c>
      <c r="D624" s="1">
        <v>44705</v>
      </c>
      <c r="E624" t="s">
        <v>26</v>
      </c>
      <c r="F624" t="s">
        <v>18</v>
      </c>
      <c r="G624">
        <v>296</v>
      </c>
      <c r="H624">
        <v>64.94</v>
      </c>
      <c r="I624">
        <v>63.61</v>
      </c>
      <c r="K624">
        <f t="shared" si="108"/>
        <v>296</v>
      </c>
      <c r="L624" t="s">
        <v>15</v>
      </c>
      <c r="M624" s="1">
        <f t="shared" si="109"/>
        <v>44705</v>
      </c>
      <c r="N624" t="str">
        <f t="shared" ca="1" si="110"/>
        <v>Net 45</v>
      </c>
      <c r="O624">
        <f t="shared" ca="1" si="111"/>
        <v>45</v>
      </c>
      <c r="P624" s="1">
        <f t="shared" ca="1" si="112"/>
        <v>44750</v>
      </c>
      <c r="Q624" s="1">
        <f t="shared" ca="1" si="113"/>
        <v>44747</v>
      </c>
      <c r="R624">
        <f t="shared" ca="1" si="114"/>
        <v>42</v>
      </c>
      <c r="S624" t="str">
        <f t="shared" ca="1" si="115"/>
        <v>On Time</v>
      </c>
      <c r="T624" t="str">
        <f t="shared" ca="1" si="116"/>
        <v>31-60</v>
      </c>
      <c r="U624">
        <f t="shared" ca="1" si="117"/>
        <v>0</v>
      </c>
      <c r="V624" t="str">
        <f t="shared" ca="1" si="118"/>
        <v>Efficient</v>
      </c>
      <c r="W624">
        <f t="shared" si="119"/>
        <v>18828.560000000001</v>
      </c>
    </row>
    <row r="625" spans="1:23" x14ac:dyDescent="0.35">
      <c r="A625" t="s">
        <v>650</v>
      </c>
      <c r="B625" t="s">
        <v>23</v>
      </c>
      <c r="C625" s="1">
        <v>45037</v>
      </c>
      <c r="D625" s="1">
        <v>45051</v>
      </c>
      <c r="E625" t="s">
        <v>21</v>
      </c>
      <c r="F625" t="s">
        <v>18</v>
      </c>
      <c r="G625">
        <v>1149</v>
      </c>
      <c r="H625">
        <v>33</v>
      </c>
      <c r="I625">
        <v>30.65</v>
      </c>
      <c r="J625">
        <v>141</v>
      </c>
      <c r="K625">
        <f t="shared" si="108"/>
        <v>1008</v>
      </c>
      <c r="L625" t="s">
        <v>15</v>
      </c>
      <c r="M625" s="1">
        <f t="shared" si="109"/>
        <v>45051</v>
      </c>
      <c r="N625" t="str">
        <f t="shared" ca="1" si="110"/>
        <v>Net 15</v>
      </c>
      <c r="O625">
        <f t="shared" ca="1" si="111"/>
        <v>15</v>
      </c>
      <c r="P625" s="1">
        <f t="shared" ca="1" si="112"/>
        <v>45066</v>
      </c>
      <c r="Q625" s="1">
        <f t="shared" ca="1" si="113"/>
        <v>45077</v>
      </c>
      <c r="R625">
        <f t="shared" ca="1" si="114"/>
        <v>26</v>
      </c>
      <c r="S625" t="str">
        <f t="shared" ca="1" si="115"/>
        <v>Late</v>
      </c>
      <c r="T625" t="str">
        <f t="shared" ca="1" si="116"/>
        <v>0-30</v>
      </c>
      <c r="U625">
        <f t="shared" ca="1" si="117"/>
        <v>11</v>
      </c>
      <c r="V625" t="str">
        <f t="shared" ca="1" si="118"/>
        <v>Inefficient</v>
      </c>
      <c r="W625">
        <f t="shared" si="119"/>
        <v>35216.85</v>
      </c>
    </row>
    <row r="626" spans="1:23" x14ac:dyDescent="0.35">
      <c r="A626" t="s">
        <v>651</v>
      </c>
      <c r="B626" t="s">
        <v>17</v>
      </c>
      <c r="C626" s="1">
        <v>45245</v>
      </c>
      <c r="D626" s="1">
        <v>45246</v>
      </c>
      <c r="E626" t="s">
        <v>39</v>
      </c>
      <c r="F626" t="s">
        <v>18</v>
      </c>
      <c r="G626">
        <v>203</v>
      </c>
      <c r="H626">
        <v>23.14</v>
      </c>
      <c r="I626">
        <v>20</v>
      </c>
      <c r="K626">
        <f t="shared" si="108"/>
        <v>203</v>
      </c>
      <c r="L626" t="s">
        <v>27</v>
      </c>
      <c r="M626" s="1">
        <f t="shared" si="109"/>
        <v>45246</v>
      </c>
      <c r="N626" t="str">
        <f t="shared" ca="1" si="110"/>
        <v>Net 15</v>
      </c>
      <c r="O626">
        <f t="shared" ca="1" si="111"/>
        <v>15</v>
      </c>
      <c r="P626" s="1">
        <f t="shared" ca="1" si="112"/>
        <v>45261</v>
      </c>
      <c r="Q626" s="1">
        <f t="shared" ca="1" si="113"/>
        <v>45257</v>
      </c>
      <c r="R626">
        <f t="shared" ca="1" si="114"/>
        <v>11</v>
      </c>
      <c r="S626" t="str">
        <f t="shared" ca="1" si="115"/>
        <v>On Time</v>
      </c>
      <c r="T626" t="str">
        <f t="shared" ca="1" si="116"/>
        <v>0-30</v>
      </c>
      <c r="U626">
        <f t="shared" ca="1" si="117"/>
        <v>0</v>
      </c>
      <c r="V626" t="str">
        <f t="shared" ca="1" si="118"/>
        <v>Efficient</v>
      </c>
      <c r="W626">
        <f t="shared" si="119"/>
        <v>4060</v>
      </c>
    </row>
    <row r="627" spans="1:23" x14ac:dyDescent="0.35">
      <c r="A627" t="s">
        <v>652</v>
      </c>
      <c r="B627" t="s">
        <v>29</v>
      </c>
      <c r="C627" s="1">
        <v>45105</v>
      </c>
      <c r="D627" s="1">
        <v>45123</v>
      </c>
      <c r="E627" t="s">
        <v>13</v>
      </c>
      <c r="F627" t="s">
        <v>18</v>
      </c>
      <c r="G627">
        <v>1729</v>
      </c>
      <c r="H627">
        <v>18.36</v>
      </c>
      <c r="I627">
        <v>16.34</v>
      </c>
      <c r="J627">
        <v>47</v>
      </c>
      <c r="K627">
        <f t="shared" si="108"/>
        <v>1682</v>
      </c>
      <c r="L627" t="s">
        <v>15</v>
      </c>
      <c r="M627" s="1">
        <f t="shared" si="109"/>
        <v>45123</v>
      </c>
      <c r="N627" t="str">
        <f t="shared" ca="1" si="110"/>
        <v>Net 15</v>
      </c>
      <c r="O627">
        <f t="shared" ca="1" si="111"/>
        <v>15</v>
      </c>
      <c r="P627" s="1">
        <f t="shared" ca="1" si="112"/>
        <v>45138</v>
      </c>
      <c r="Q627" s="1">
        <f t="shared" ca="1" si="113"/>
        <v>45142</v>
      </c>
      <c r="R627">
        <f t="shared" ca="1" si="114"/>
        <v>19</v>
      </c>
      <c r="S627" t="str">
        <f t="shared" ca="1" si="115"/>
        <v>Late</v>
      </c>
      <c r="T627" t="str">
        <f t="shared" ca="1" si="116"/>
        <v>0-30</v>
      </c>
      <c r="U627">
        <f t="shared" ca="1" si="117"/>
        <v>4</v>
      </c>
      <c r="V627" t="str">
        <f t="shared" ca="1" si="118"/>
        <v>Inefficient</v>
      </c>
      <c r="W627">
        <f t="shared" si="119"/>
        <v>28251.86</v>
      </c>
    </row>
    <row r="628" spans="1:23" x14ac:dyDescent="0.35">
      <c r="A628" t="s">
        <v>653</v>
      </c>
      <c r="B628" t="s">
        <v>17</v>
      </c>
      <c r="C628" s="1">
        <v>45134</v>
      </c>
      <c r="D628" s="1">
        <v>45144</v>
      </c>
      <c r="E628" t="s">
        <v>13</v>
      </c>
      <c r="F628" t="s">
        <v>18</v>
      </c>
      <c r="G628">
        <v>1508</v>
      </c>
      <c r="H628">
        <v>79.209999999999994</v>
      </c>
      <c r="I628">
        <v>73.27</v>
      </c>
      <c r="J628">
        <v>226</v>
      </c>
      <c r="K628">
        <f t="shared" si="108"/>
        <v>1282</v>
      </c>
      <c r="L628" t="s">
        <v>15</v>
      </c>
      <c r="M628" s="1">
        <f t="shared" si="109"/>
        <v>45144</v>
      </c>
      <c r="N628" t="str">
        <f t="shared" ca="1" si="110"/>
        <v>Net 45</v>
      </c>
      <c r="O628">
        <f t="shared" ca="1" si="111"/>
        <v>45</v>
      </c>
      <c r="P628" s="1">
        <f t="shared" ca="1" si="112"/>
        <v>45189</v>
      </c>
      <c r="Q628" s="1">
        <f t="shared" ca="1" si="113"/>
        <v>45204</v>
      </c>
      <c r="R628">
        <f t="shared" ca="1" si="114"/>
        <v>60</v>
      </c>
      <c r="S628" t="str">
        <f t="shared" ca="1" si="115"/>
        <v>Late</v>
      </c>
      <c r="T628" t="str">
        <f t="shared" ca="1" si="116"/>
        <v>31-60</v>
      </c>
      <c r="U628">
        <f t="shared" ca="1" si="117"/>
        <v>15</v>
      </c>
      <c r="V628" t="str">
        <f t="shared" ca="1" si="118"/>
        <v>Inefficient</v>
      </c>
      <c r="W628">
        <f t="shared" si="119"/>
        <v>110491.15999999999</v>
      </c>
    </row>
    <row r="629" spans="1:23" x14ac:dyDescent="0.35">
      <c r="A629" t="s">
        <v>654</v>
      </c>
      <c r="B629" t="s">
        <v>17</v>
      </c>
      <c r="C629" s="1">
        <v>45171</v>
      </c>
      <c r="D629" s="1">
        <v>45184</v>
      </c>
      <c r="E629" t="s">
        <v>24</v>
      </c>
      <c r="F629" t="s">
        <v>33</v>
      </c>
      <c r="G629">
        <v>1046</v>
      </c>
      <c r="H629">
        <v>44.65</v>
      </c>
      <c r="I629">
        <v>40.1</v>
      </c>
      <c r="J629">
        <v>165</v>
      </c>
      <c r="K629">
        <f t="shared" si="108"/>
        <v>881</v>
      </c>
      <c r="L629" t="s">
        <v>27</v>
      </c>
      <c r="M629" s="1">
        <f t="shared" si="109"/>
        <v>45184</v>
      </c>
      <c r="N629" t="str">
        <f t="shared" ca="1" si="110"/>
        <v>Net 15</v>
      </c>
      <c r="O629">
        <f t="shared" ca="1" si="111"/>
        <v>15</v>
      </c>
      <c r="P629" s="1">
        <f t="shared" ca="1" si="112"/>
        <v>45199</v>
      </c>
      <c r="Q629" s="1">
        <f t="shared" ca="1" si="113"/>
        <v>45216</v>
      </c>
      <c r="R629">
        <f t="shared" ca="1" si="114"/>
        <v>32</v>
      </c>
      <c r="S629" t="str">
        <f t="shared" ca="1" si="115"/>
        <v>Late</v>
      </c>
      <c r="T629" t="str">
        <f t="shared" ca="1" si="116"/>
        <v>31-60</v>
      </c>
      <c r="U629">
        <f t="shared" ca="1" si="117"/>
        <v>17</v>
      </c>
      <c r="V629" t="str">
        <f t="shared" ca="1" si="118"/>
        <v>Inefficient</v>
      </c>
      <c r="W629">
        <f t="shared" si="119"/>
        <v>41944.6</v>
      </c>
    </row>
    <row r="630" spans="1:23" x14ac:dyDescent="0.35">
      <c r="A630" t="s">
        <v>655</v>
      </c>
      <c r="B630" t="s">
        <v>12</v>
      </c>
      <c r="C630" s="1">
        <v>44886</v>
      </c>
      <c r="D630" s="1">
        <v>44889</v>
      </c>
      <c r="E630" t="s">
        <v>13</v>
      </c>
      <c r="F630" t="s">
        <v>18</v>
      </c>
      <c r="G630">
        <v>1159</v>
      </c>
      <c r="H630">
        <v>78.989999999999995</v>
      </c>
      <c r="I630">
        <v>71.69</v>
      </c>
      <c r="J630">
        <v>14</v>
      </c>
      <c r="K630">
        <f t="shared" si="108"/>
        <v>1145</v>
      </c>
      <c r="L630" t="s">
        <v>15</v>
      </c>
      <c r="M630" s="1">
        <f t="shared" si="109"/>
        <v>44889</v>
      </c>
      <c r="N630" t="str">
        <f t="shared" ca="1" si="110"/>
        <v>Net 30</v>
      </c>
      <c r="O630">
        <f t="shared" ca="1" si="111"/>
        <v>30</v>
      </c>
      <c r="P630" s="1">
        <f t="shared" ca="1" si="112"/>
        <v>44919</v>
      </c>
      <c r="Q630" s="1">
        <f t="shared" ca="1" si="113"/>
        <v>44918</v>
      </c>
      <c r="R630">
        <f t="shared" ca="1" si="114"/>
        <v>29</v>
      </c>
      <c r="S630" t="str">
        <f t="shared" ca="1" si="115"/>
        <v>On Time</v>
      </c>
      <c r="T630" t="str">
        <f t="shared" ca="1" si="116"/>
        <v>0-30</v>
      </c>
      <c r="U630">
        <f t="shared" ca="1" si="117"/>
        <v>0</v>
      </c>
      <c r="V630" t="str">
        <f t="shared" ca="1" si="118"/>
        <v>Efficient</v>
      </c>
      <c r="W630">
        <f t="shared" si="119"/>
        <v>83088.709999999992</v>
      </c>
    </row>
    <row r="631" spans="1:23" x14ac:dyDescent="0.35">
      <c r="A631" t="s">
        <v>656</v>
      </c>
      <c r="B631" t="s">
        <v>23</v>
      </c>
      <c r="C631" s="1">
        <v>45015</v>
      </c>
      <c r="D631" s="1">
        <v>45021</v>
      </c>
      <c r="E631" t="s">
        <v>39</v>
      </c>
      <c r="F631" t="s">
        <v>18</v>
      </c>
      <c r="G631">
        <v>746</v>
      </c>
      <c r="H631">
        <v>16.989999999999998</v>
      </c>
      <c r="I631">
        <v>15.35</v>
      </c>
      <c r="J631">
        <v>69</v>
      </c>
      <c r="K631">
        <f t="shared" si="108"/>
        <v>677</v>
      </c>
      <c r="L631" t="s">
        <v>27</v>
      </c>
      <c r="M631" s="1">
        <f t="shared" si="109"/>
        <v>45021</v>
      </c>
      <c r="N631" t="str">
        <f t="shared" ca="1" si="110"/>
        <v>Net 15</v>
      </c>
      <c r="O631">
        <f t="shared" ca="1" si="111"/>
        <v>15</v>
      </c>
      <c r="P631" s="1">
        <f t="shared" ca="1" si="112"/>
        <v>45036</v>
      </c>
      <c r="Q631" s="1">
        <f t="shared" ca="1" si="113"/>
        <v>45037</v>
      </c>
      <c r="R631">
        <f t="shared" ca="1" si="114"/>
        <v>16</v>
      </c>
      <c r="S631" t="str">
        <f t="shared" ca="1" si="115"/>
        <v>Late</v>
      </c>
      <c r="T631" t="str">
        <f t="shared" ca="1" si="116"/>
        <v>0-30</v>
      </c>
      <c r="U631">
        <f t="shared" ca="1" si="117"/>
        <v>1</v>
      </c>
      <c r="V631" t="str">
        <f t="shared" ca="1" si="118"/>
        <v>Inefficient</v>
      </c>
      <c r="W631">
        <f t="shared" si="119"/>
        <v>11451.1</v>
      </c>
    </row>
    <row r="632" spans="1:23" x14ac:dyDescent="0.35">
      <c r="A632" t="s">
        <v>657</v>
      </c>
      <c r="B632" t="s">
        <v>23</v>
      </c>
      <c r="C632" s="1">
        <v>45189</v>
      </c>
      <c r="D632" s="1">
        <v>45205</v>
      </c>
      <c r="E632" t="s">
        <v>24</v>
      </c>
      <c r="F632" t="s">
        <v>18</v>
      </c>
      <c r="G632">
        <v>1358</v>
      </c>
      <c r="H632">
        <v>42.21</v>
      </c>
      <c r="I632">
        <v>38.75</v>
      </c>
      <c r="J632">
        <v>128</v>
      </c>
      <c r="K632">
        <f t="shared" si="108"/>
        <v>1230</v>
      </c>
      <c r="L632" t="s">
        <v>15</v>
      </c>
      <c r="M632" s="1">
        <f t="shared" si="109"/>
        <v>45205</v>
      </c>
      <c r="N632" t="str">
        <f t="shared" ca="1" si="110"/>
        <v>Net 15</v>
      </c>
      <c r="O632">
        <f t="shared" ca="1" si="111"/>
        <v>15</v>
      </c>
      <c r="P632" s="1">
        <f t="shared" ca="1" si="112"/>
        <v>45220</v>
      </c>
      <c r="Q632" s="1">
        <f t="shared" ca="1" si="113"/>
        <v>45237</v>
      </c>
      <c r="R632">
        <f t="shared" ca="1" si="114"/>
        <v>32</v>
      </c>
      <c r="S632" t="str">
        <f t="shared" ca="1" si="115"/>
        <v>Late</v>
      </c>
      <c r="T632" t="str">
        <f t="shared" ca="1" si="116"/>
        <v>31-60</v>
      </c>
      <c r="U632">
        <f t="shared" ca="1" si="117"/>
        <v>17</v>
      </c>
      <c r="V632" t="str">
        <f t="shared" ca="1" si="118"/>
        <v>Inefficient</v>
      </c>
      <c r="W632">
        <f t="shared" si="119"/>
        <v>52622.5</v>
      </c>
    </row>
    <row r="633" spans="1:23" x14ac:dyDescent="0.35">
      <c r="A633" t="s">
        <v>658</v>
      </c>
      <c r="B633" t="s">
        <v>20</v>
      </c>
      <c r="C633" s="1">
        <v>45078</v>
      </c>
      <c r="D633" s="1">
        <v>45089</v>
      </c>
      <c r="E633" t="s">
        <v>13</v>
      </c>
      <c r="F633" t="s">
        <v>18</v>
      </c>
      <c r="G633">
        <v>1293</v>
      </c>
      <c r="H633">
        <v>63.53</v>
      </c>
      <c r="I633">
        <v>59.42</v>
      </c>
      <c r="J633">
        <v>79</v>
      </c>
      <c r="K633">
        <f t="shared" si="108"/>
        <v>1214</v>
      </c>
      <c r="L633" t="s">
        <v>15</v>
      </c>
      <c r="M633" s="1">
        <f t="shared" si="109"/>
        <v>45089</v>
      </c>
      <c r="N633" t="str">
        <f t="shared" ca="1" si="110"/>
        <v>Net 45</v>
      </c>
      <c r="O633">
        <f t="shared" ca="1" si="111"/>
        <v>45</v>
      </c>
      <c r="P633" s="1">
        <f t="shared" ca="1" si="112"/>
        <v>45134</v>
      </c>
      <c r="Q633" s="1">
        <f t="shared" ca="1" si="113"/>
        <v>45132</v>
      </c>
      <c r="R633">
        <f t="shared" ca="1" si="114"/>
        <v>43</v>
      </c>
      <c r="S633" t="str">
        <f t="shared" ca="1" si="115"/>
        <v>On Time</v>
      </c>
      <c r="T633" t="str">
        <f t="shared" ca="1" si="116"/>
        <v>31-60</v>
      </c>
      <c r="U633">
        <f t="shared" ca="1" si="117"/>
        <v>0</v>
      </c>
      <c r="V633" t="str">
        <f t="shared" ca="1" si="118"/>
        <v>Efficient</v>
      </c>
      <c r="W633">
        <f t="shared" si="119"/>
        <v>76830.06</v>
      </c>
    </row>
    <row r="634" spans="1:23" x14ac:dyDescent="0.35">
      <c r="A634" t="s">
        <v>659</v>
      </c>
      <c r="B634" t="s">
        <v>12</v>
      </c>
      <c r="C634" s="1">
        <v>44998</v>
      </c>
      <c r="D634" s="1">
        <v>45009</v>
      </c>
      <c r="E634" t="s">
        <v>39</v>
      </c>
      <c r="F634" t="s">
        <v>18</v>
      </c>
      <c r="G634">
        <v>1142</v>
      </c>
      <c r="H634">
        <v>86.85</v>
      </c>
      <c r="I634">
        <v>74.28</v>
      </c>
      <c r="J634">
        <v>30</v>
      </c>
      <c r="K634">
        <f t="shared" si="108"/>
        <v>1112</v>
      </c>
      <c r="L634" t="s">
        <v>15</v>
      </c>
      <c r="M634" s="1">
        <f t="shared" si="109"/>
        <v>45009</v>
      </c>
      <c r="N634" t="str">
        <f t="shared" ca="1" si="110"/>
        <v>Net 15</v>
      </c>
      <c r="O634">
        <f t="shared" ca="1" si="111"/>
        <v>15</v>
      </c>
      <c r="P634" s="1">
        <f t="shared" ca="1" si="112"/>
        <v>45024</v>
      </c>
      <c r="Q634" s="1">
        <f t="shared" ca="1" si="113"/>
        <v>45040</v>
      </c>
      <c r="R634">
        <f t="shared" ca="1" si="114"/>
        <v>31</v>
      </c>
      <c r="S634" t="str">
        <f t="shared" ca="1" si="115"/>
        <v>Late</v>
      </c>
      <c r="T634" t="str">
        <f t="shared" ca="1" si="116"/>
        <v>31-60</v>
      </c>
      <c r="U634">
        <f t="shared" ca="1" si="117"/>
        <v>16</v>
      </c>
      <c r="V634" t="str">
        <f t="shared" ca="1" si="118"/>
        <v>Inefficient</v>
      </c>
      <c r="W634">
        <f t="shared" si="119"/>
        <v>84827.76</v>
      </c>
    </row>
    <row r="635" spans="1:23" x14ac:dyDescent="0.35">
      <c r="A635" t="s">
        <v>660</v>
      </c>
      <c r="B635" t="s">
        <v>29</v>
      </c>
      <c r="C635" s="1">
        <v>45123</v>
      </c>
      <c r="D635" s="1">
        <v>45134</v>
      </c>
      <c r="E635" t="s">
        <v>21</v>
      </c>
      <c r="F635" t="s">
        <v>18</v>
      </c>
      <c r="G635">
        <v>1120</v>
      </c>
      <c r="H635">
        <v>42.17</v>
      </c>
      <c r="I635">
        <v>37.47</v>
      </c>
      <c r="J635">
        <v>33</v>
      </c>
      <c r="K635">
        <f t="shared" si="108"/>
        <v>1087</v>
      </c>
      <c r="L635" t="s">
        <v>15</v>
      </c>
      <c r="M635" s="1">
        <f t="shared" si="109"/>
        <v>45134</v>
      </c>
      <c r="N635" t="str">
        <f t="shared" ca="1" si="110"/>
        <v>Net 15</v>
      </c>
      <c r="O635">
        <f t="shared" ca="1" si="111"/>
        <v>15</v>
      </c>
      <c r="P635" s="1">
        <f t="shared" ca="1" si="112"/>
        <v>45149</v>
      </c>
      <c r="Q635" s="1">
        <f t="shared" ca="1" si="113"/>
        <v>45168</v>
      </c>
      <c r="R635">
        <f t="shared" ca="1" si="114"/>
        <v>34</v>
      </c>
      <c r="S635" t="str">
        <f t="shared" ca="1" si="115"/>
        <v>Late</v>
      </c>
      <c r="T635" t="str">
        <f t="shared" ca="1" si="116"/>
        <v>31-60</v>
      </c>
      <c r="U635">
        <f t="shared" ca="1" si="117"/>
        <v>19</v>
      </c>
      <c r="V635" t="str">
        <f t="shared" ca="1" si="118"/>
        <v>Inefficient</v>
      </c>
      <c r="W635">
        <f t="shared" si="119"/>
        <v>41966.400000000001</v>
      </c>
    </row>
    <row r="636" spans="1:23" x14ac:dyDescent="0.35">
      <c r="A636" t="s">
        <v>661</v>
      </c>
      <c r="B636" t="s">
        <v>12</v>
      </c>
      <c r="C636" s="1">
        <v>45018</v>
      </c>
      <c r="D636" s="1">
        <v>45030</v>
      </c>
      <c r="E636" t="s">
        <v>21</v>
      </c>
      <c r="F636" t="s">
        <v>18</v>
      </c>
      <c r="G636">
        <v>1058</v>
      </c>
      <c r="H636">
        <v>71.3</v>
      </c>
      <c r="I636">
        <v>62.04</v>
      </c>
      <c r="K636">
        <f t="shared" si="108"/>
        <v>1058</v>
      </c>
      <c r="L636" t="s">
        <v>15</v>
      </c>
      <c r="M636" s="1">
        <f t="shared" si="109"/>
        <v>45030</v>
      </c>
      <c r="N636" t="str">
        <f t="shared" ca="1" si="110"/>
        <v>Net 45</v>
      </c>
      <c r="O636">
        <f t="shared" ca="1" si="111"/>
        <v>45</v>
      </c>
      <c r="P636" s="1">
        <f t="shared" ca="1" si="112"/>
        <v>45075</v>
      </c>
      <c r="Q636" s="1">
        <f t="shared" ca="1" si="113"/>
        <v>45075</v>
      </c>
      <c r="R636">
        <f t="shared" ca="1" si="114"/>
        <v>45</v>
      </c>
      <c r="S636" t="str">
        <f t="shared" ca="1" si="115"/>
        <v>On Time</v>
      </c>
      <c r="T636" t="str">
        <f t="shared" ca="1" si="116"/>
        <v>31-60</v>
      </c>
      <c r="U636">
        <f t="shared" ca="1" si="117"/>
        <v>0</v>
      </c>
      <c r="V636" t="str">
        <f t="shared" ca="1" si="118"/>
        <v>Efficient</v>
      </c>
      <c r="W636">
        <f t="shared" si="119"/>
        <v>65638.319999999992</v>
      </c>
    </row>
    <row r="637" spans="1:23" x14ac:dyDescent="0.35">
      <c r="A637" t="s">
        <v>662</v>
      </c>
      <c r="B637" t="s">
        <v>29</v>
      </c>
      <c r="C637" s="1">
        <v>44724</v>
      </c>
      <c r="E637" t="s">
        <v>13</v>
      </c>
      <c r="F637" t="s">
        <v>18</v>
      </c>
      <c r="G637">
        <v>143</v>
      </c>
      <c r="H637">
        <v>91.98</v>
      </c>
      <c r="I637">
        <v>86.02</v>
      </c>
      <c r="J637">
        <v>5</v>
      </c>
      <c r="K637">
        <f t="shared" si="108"/>
        <v>138</v>
      </c>
      <c r="L637" t="s">
        <v>15</v>
      </c>
      <c r="M637" s="1">
        <f t="shared" si="109"/>
        <v>0</v>
      </c>
      <c r="N637" t="str">
        <f t="shared" ca="1" si="110"/>
        <v>Net 15</v>
      </c>
      <c r="O637">
        <f t="shared" ca="1" si="111"/>
        <v>15</v>
      </c>
      <c r="P637" s="1">
        <f t="shared" ca="1" si="112"/>
        <v>15</v>
      </c>
      <c r="Q637" s="1">
        <f t="shared" ca="1" si="113"/>
        <v>13</v>
      </c>
      <c r="R637">
        <f t="shared" ca="1" si="114"/>
        <v>13</v>
      </c>
      <c r="S637" t="str">
        <f t="shared" ca="1" si="115"/>
        <v>On Time</v>
      </c>
      <c r="T637" t="str">
        <f t="shared" ca="1" si="116"/>
        <v>0-30</v>
      </c>
      <c r="U637">
        <f t="shared" ca="1" si="117"/>
        <v>0</v>
      </c>
      <c r="V637" t="str">
        <f t="shared" ca="1" si="118"/>
        <v>Efficient</v>
      </c>
      <c r="W637">
        <f t="shared" si="119"/>
        <v>12300.859999999999</v>
      </c>
    </row>
    <row r="638" spans="1:23" x14ac:dyDescent="0.35">
      <c r="A638" t="s">
        <v>663</v>
      </c>
      <c r="B638" t="s">
        <v>23</v>
      </c>
      <c r="C638" s="1">
        <v>45048</v>
      </c>
      <c r="D638" s="1">
        <v>45060</v>
      </c>
      <c r="E638" t="s">
        <v>21</v>
      </c>
      <c r="F638" t="s">
        <v>18</v>
      </c>
      <c r="G638">
        <v>1823</v>
      </c>
      <c r="H638">
        <v>70.66</v>
      </c>
      <c r="I638">
        <v>66.92</v>
      </c>
      <c r="J638">
        <v>202</v>
      </c>
      <c r="K638">
        <f t="shared" si="108"/>
        <v>1621</v>
      </c>
      <c r="L638" t="s">
        <v>15</v>
      </c>
      <c r="M638" s="1">
        <f t="shared" si="109"/>
        <v>45060</v>
      </c>
      <c r="N638" t="str">
        <f t="shared" ca="1" si="110"/>
        <v>Net 15</v>
      </c>
      <c r="O638">
        <f t="shared" ca="1" si="111"/>
        <v>15</v>
      </c>
      <c r="P638" s="1">
        <f t="shared" ca="1" si="112"/>
        <v>45075</v>
      </c>
      <c r="Q638" s="1">
        <f t="shared" ca="1" si="113"/>
        <v>45078</v>
      </c>
      <c r="R638">
        <f t="shared" ca="1" si="114"/>
        <v>18</v>
      </c>
      <c r="S638" t="str">
        <f t="shared" ca="1" si="115"/>
        <v>Late</v>
      </c>
      <c r="T638" t="str">
        <f t="shared" ca="1" si="116"/>
        <v>0-30</v>
      </c>
      <c r="U638">
        <f t="shared" ca="1" si="117"/>
        <v>3</v>
      </c>
      <c r="V638" t="str">
        <f t="shared" ca="1" si="118"/>
        <v>Inefficient</v>
      </c>
      <c r="W638">
        <f t="shared" si="119"/>
        <v>121995.16</v>
      </c>
    </row>
    <row r="639" spans="1:23" x14ac:dyDescent="0.35">
      <c r="A639" t="s">
        <v>664</v>
      </c>
      <c r="B639" t="s">
        <v>20</v>
      </c>
      <c r="C639" s="1">
        <v>45022</v>
      </c>
      <c r="D639" s="1">
        <v>45026</v>
      </c>
      <c r="E639" t="s">
        <v>13</v>
      </c>
      <c r="F639" t="s">
        <v>18</v>
      </c>
      <c r="G639">
        <v>1007</v>
      </c>
      <c r="H639">
        <v>33.29</v>
      </c>
      <c r="I639">
        <v>28.48</v>
      </c>
      <c r="J639">
        <v>49</v>
      </c>
      <c r="K639">
        <f t="shared" si="108"/>
        <v>958</v>
      </c>
      <c r="L639" t="s">
        <v>15</v>
      </c>
      <c r="M639" s="1">
        <f t="shared" si="109"/>
        <v>45026</v>
      </c>
      <c r="N639" t="str">
        <f t="shared" ca="1" si="110"/>
        <v>Net 30</v>
      </c>
      <c r="O639">
        <f t="shared" ca="1" si="111"/>
        <v>30</v>
      </c>
      <c r="P639" s="1">
        <f t="shared" ca="1" si="112"/>
        <v>45056</v>
      </c>
      <c r="Q639" s="1">
        <f t="shared" ca="1" si="113"/>
        <v>45060</v>
      </c>
      <c r="R639">
        <f t="shared" ca="1" si="114"/>
        <v>34</v>
      </c>
      <c r="S639" t="str">
        <f t="shared" ca="1" si="115"/>
        <v>Late</v>
      </c>
      <c r="T639" t="str">
        <f t="shared" ca="1" si="116"/>
        <v>31-60</v>
      </c>
      <c r="U639">
        <f t="shared" ca="1" si="117"/>
        <v>4</v>
      </c>
      <c r="V639" t="str">
        <f t="shared" ca="1" si="118"/>
        <v>Inefficient</v>
      </c>
      <c r="W639">
        <f t="shared" si="119"/>
        <v>28679.360000000001</v>
      </c>
    </row>
    <row r="640" spans="1:23" x14ac:dyDescent="0.35">
      <c r="A640" t="s">
        <v>665</v>
      </c>
      <c r="B640" t="s">
        <v>20</v>
      </c>
      <c r="C640" s="1">
        <v>44827</v>
      </c>
      <c r="D640" s="1">
        <v>44842</v>
      </c>
      <c r="E640" t="s">
        <v>24</v>
      </c>
      <c r="F640" t="s">
        <v>18</v>
      </c>
      <c r="G640">
        <v>1061</v>
      </c>
      <c r="H640">
        <v>12.68</v>
      </c>
      <c r="I640">
        <v>12.36</v>
      </c>
      <c r="J640">
        <v>56</v>
      </c>
      <c r="K640">
        <f t="shared" si="108"/>
        <v>1005</v>
      </c>
      <c r="L640" t="s">
        <v>27</v>
      </c>
      <c r="M640" s="1">
        <f t="shared" si="109"/>
        <v>44842</v>
      </c>
      <c r="N640" t="str">
        <f t="shared" ca="1" si="110"/>
        <v>Net 15</v>
      </c>
      <c r="O640">
        <f t="shared" ca="1" si="111"/>
        <v>15</v>
      </c>
      <c r="P640" s="1">
        <f t="shared" ca="1" si="112"/>
        <v>44857</v>
      </c>
      <c r="Q640" s="1">
        <f t="shared" ca="1" si="113"/>
        <v>44869</v>
      </c>
      <c r="R640">
        <f t="shared" ca="1" si="114"/>
        <v>27</v>
      </c>
      <c r="S640" t="str">
        <f t="shared" ca="1" si="115"/>
        <v>Late</v>
      </c>
      <c r="T640" t="str">
        <f t="shared" ca="1" si="116"/>
        <v>0-30</v>
      </c>
      <c r="U640">
        <f t="shared" ca="1" si="117"/>
        <v>12</v>
      </c>
      <c r="V640" t="str">
        <f t="shared" ca="1" si="118"/>
        <v>Inefficient</v>
      </c>
      <c r="W640">
        <f t="shared" si="119"/>
        <v>13113.96</v>
      </c>
    </row>
    <row r="641" spans="1:23" x14ac:dyDescent="0.35">
      <c r="A641" t="s">
        <v>666</v>
      </c>
      <c r="B641" t="s">
        <v>23</v>
      </c>
      <c r="C641" s="1">
        <v>44815</v>
      </c>
      <c r="D641" s="1">
        <v>44830</v>
      </c>
      <c r="E641" t="s">
        <v>21</v>
      </c>
      <c r="F641" t="s">
        <v>35</v>
      </c>
      <c r="G641">
        <v>502</v>
      </c>
      <c r="H641">
        <v>91.84</v>
      </c>
      <c r="I641">
        <v>82.33</v>
      </c>
      <c r="K641">
        <f t="shared" si="108"/>
        <v>502</v>
      </c>
      <c r="L641" t="s">
        <v>15</v>
      </c>
      <c r="M641" s="1">
        <f t="shared" si="109"/>
        <v>44830</v>
      </c>
      <c r="N641" t="str">
        <f t="shared" ca="1" si="110"/>
        <v>Net 30</v>
      </c>
      <c r="O641">
        <f t="shared" ca="1" si="111"/>
        <v>30</v>
      </c>
      <c r="P641" s="1">
        <f t="shared" ca="1" si="112"/>
        <v>44860</v>
      </c>
      <c r="Q641" s="1">
        <f t="shared" ca="1" si="113"/>
        <v>44866</v>
      </c>
      <c r="R641">
        <f t="shared" ca="1" si="114"/>
        <v>36</v>
      </c>
      <c r="S641" t="str">
        <f t="shared" ca="1" si="115"/>
        <v>Late</v>
      </c>
      <c r="T641" t="str">
        <f t="shared" ca="1" si="116"/>
        <v>31-60</v>
      </c>
      <c r="U641">
        <f t="shared" ca="1" si="117"/>
        <v>6</v>
      </c>
      <c r="V641" t="str">
        <f t="shared" ca="1" si="118"/>
        <v>Inefficient</v>
      </c>
      <c r="W641">
        <f t="shared" si="119"/>
        <v>41329.659999999996</v>
      </c>
    </row>
    <row r="642" spans="1:23" x14ac:dyDescent="0.35">
      <c r="A642" t="s">
        <v>667</v>
      </c>
      <c r="B642" t="s">
        <v>17</v>
      </c>
      <c r="C642" s="1">
        <v>45214</v>
      </c>
      <c r="D642" s="1">
        <v>45218</v>
      </c>
      <c r="E642" t="s">
        <v>24</v>
      </c>
      <c r="F642" t="s">
        <v>18</v>
      </c>
      <c r="G642">
        <v>1277</v>
      </c>
      <c r="H642">
        <v>13.17</v>
      </c>
      <c r="I642">
        <v>11.63</v>
      </c>
      <c r="J642">
        <v>199</v>
      </c>
      <c r="K642">
        <f t="shared" si="108"/>
        <v>1078</v>
      </c>
      <c r="L642" t="s">
        <v>27</v>
      </c>
      <c r="M642" s="1">
        <f t="shared" si="109"/>
        <v>45218</v>
      </c>
      <c r="N642" t="str">
        <f t="shared" ca="1" si="110"/>
        <v>Net 15</v>
      </c>
      <c r="O642">
        <f t="shared" ca="1" si="111"/>
        <v>15</v>
      </c>
      <c r="P642" s="1">
        <f t="shared" ca="1" si="112"/>
        <v>45233</v>
      </c>
      <c r="Q642" s="1">
        <f t="shared" ca="1" si="113"/>
        <v>45239</v>
      </c>
      <c r="R642">
        <f t="shared" ca="1" si="114"/>
        <v>21</v>
      </c>
      <c r="S642" t="str">
        <f t="shared" ca="1" si="115"/>
        <v>Late</v>
      </c>
      <c r="T642" t="str">
        <f t="shared" ca="1" si="116"/>
        <v>0-30</v>
      </c>
      <c r="U642">
        <f t="shared" ca="1" si="117"/>
        <v>6</v>
      </c>
      <c r="V642" t="str">
        <f t="shared" ca="1" si="118"/>
        <v>Inefficient</v>
      </c>
      <c r="W642">
        <f t="shared" si="119"/>
        <v>14851.51</v>
      </c>
    </row>
    <row r="643" spans="1:23" x14ac:dyDescent="0.35">
      <c r="A643" t="s">
        <v>668</v>
      </c>
      <c r="B643" t="s">
        <v>12</v>
      </c>
      <c r="C643" s="1">
        <v>44845</v>
      </c>
      <c r="D643" s="1">
        <v>44858</v>
      </c>
      <c r="E643" t="s">
        <v>24</v>
      </c>
      <c r="F643" t="s">
        <v>18</v>
      </c>
      <c r="G643">
        <v>961</v>
      </c>
      <c r="H643">
        <v>92.72</v>
      </c>
      <c r="I643">
        <v>88.49</v>
      </c>
      <c r="J643">
        <v>22</v>
      </c>
      <c r="K643">
        <f t="shared" ref="K643:K706" si="120">G643-J643</f>
        <v>939</v>
      </c>
      <c r="L643" t="s">
        <v>15</v>
      </c>
      <c r="M643" s="1">
        <f t="shared" ref="M643:M706" si="121">D643</f>
        <v>44858</v>
      </c>
      <c r="N643" t="str">
        <f t="shared" ref="N643:N706" ca="1" si="122">CHOOSE(RANDBETWEEN(1,3),"Net 15","Net 30","Net 45")</f>
        <v>Net 15</v>
      </c>
      <c r="O643">
        <f t="shared" ref="O643:O706" ca="1" si="123">VALUE(RIGHT(N643,2))</f>
        <v>15</v>
      </c>
      <c r="P643" s="1">
        <f t="shared" ref="P643:P706" ca="1" si="124">(M643+O643)</f>
        <v>44873</v>
      </c>
      <c r="Q643" s="1">
        <f t="shared" ref="Q643:Q706" ca="1" si="125">P643 + RANDBETWEEN(-5,20)</f>
        <v>44880</v>
      </c>
      <c r="R643">
        <f t="shared" ref="R643:R706" ca="1" si="126">Q643-M643</f>
        <v>22</v>
      </c>
      <c r="S643" t="str">
        <f t="shared" ref="S643:S706" ca="1" si="127">IF(Q643&lt;=P643,"On Time","Late")</f>
        <v>Late</v>
      </c>
      <c r="T643" t="str">
        <f t="shared" ref="T643:T706" ca="1" si="128">IF(R643&lt;=30,"0-30",
IF(R643&lt;=60,"31-60",
IF(R643&lt;=90,"61-90","90+")))</f>
        <v>0-30</v>
      </c>
      <c r="U643">
        <f t="shared" ref="U643:U706" ca="1" si="129">MAX(0,Q643-P643)</f>
        <v>7</v>
      </c>
      <c r="V643" t="str">
        <f t="shared" ref="V643:V706" ca="1" si="130">IF(U643=0,"Efficient","Inefficient")</f>
        <v>Inefficient</v>
      </c>
      <c r="W643">
        <f t="shared" ref="W643:W706" si="131">G643*I643</f>
        <v>85038.89</v>
      </c>
    </row>
    <row r="644" spans="1:23" x14ac:dyDescent="0.35">
      <c r="A644" t="s">
        <v>669</v>
      </c>
      <c r="B644" t="s">
        <v>20</v>
      </c>
      <c r="C644" s="1">
        <v>45095</v>
      </c>
      <c r="D644" s="1">
        <v>45109</v>
      </c>
      <c r="E644" t="s">
        <v>24</v>
      </c>
      <c r="F644" t="s">
        <v>18</v>
      </c>
      <c r="G644">
        <v>267</v>
      </c>
      <c r="H644">
        <v>62.5</v>
      </c>
      <c r="I644">
        <v>61.18</v>
      </c>
      <c r="J644">
        <v>17</v>
      </c>
      <c r="K644">
        <f t="shared" si="120"/>
        <v>250</v>
      </c>
      <c r="L644" t="s">
        <v>15</v>
      </c>
      <c r="M644" s="1">
        <f t="shared" si="121"/>
        <v>45109</v>
      </c>
      <c r="N644" t="str">
        <f t="shared" ca="1" si="122"/>
        <v>Net 30</v>
      </c>
      <c r="O644">
        <f t="shared" ca="1" si="123"/>
        <v>30</v>
      </c>
      <c r="P644" s="1">
        <f t="shared" ca="1" si="124"/>
        <v>45139</v>
      </c>
      <c r="Q644" s="1">
        <f t="shared" ca="1" si="125"/>
        <v>45150</v>
      </c>
      <c r="R644">
        <f t="shared" ca="1" si="126"/>
        <v>41</v>
      </c>
      <c r="S644" t="str">
        <f t="shared" ca="1" si="127"/>
        <v>Late</v>
      </c>
      <c r="T644" t="str">
        <f t="shared" ca="1" si="128"/>
        <v>31-60</v>
      </c>
      <c r="U644">
        <f t="shared" ca="1" si="129"/>
        <v>11</v>
      </c>
      <c r="V644" t="str">
        <f t="shared" ca="1" si="130"/>
        <v>Inefficient</v>
      </c>
      <c r="W644">
        <f t="shared" si="131"/>
        <v>16335.06</v>
      </c>
    </row>
    <row r="645" spans="1:23" x14ac:dyDescent="0.35">
      <c r="A645" t="s">
        <v>670</v>
      </c>
      <c r="B645" t="s">
        <v>17</v>
      </c>
      <c r="C645" s="1">
        <v>45058</v>
      </c>
      <c r="D645" s="1">
        <v>45064</v>
      </c>
      <c r="E645" t="s">
        <v>26</v>
      </c>
      <c r="F645" t="s">
        <v>14</v>
      </c>
      <c r="G645">
        <v>523</v>
      </c>
      <c r="H645">
        <v>102.08</v>
      </c>
      <c r="I645">
        <v>99.59</v>
      </c>
      <c r="K645">
        <f t="shared" si="120"/>
        <v>523</v>
      </c>
      <c r="L645" t="s">
        <v>15</v>
      </c>
      <c r="M645" s="1">
        <f t="shared" si="121"/>
        <v>45064</v>
      </c>
      <c r="N645" t="str">
        <f t="shared" ca="1" si="122"/>
        <v>Net 45</v>
      </c>
      <c r="O645">
        <f t="shared" ca="1" si="123"/>
        <v>45</v>
      </c>
      <c r="P645" s="1">
        <f t="shared" ca="1" si="124"/>
        <v>45109</v>
      </c>
      <c r="Q645" s="1">
        <f t="shared" ca="1" si="125"/>
        <v>45125</v>
      </c>
      <c r="R645">
        <f t="shared" ca="1" si="126"/>
        <v>61</v>
      </c>
      <c r="S645" t="str">
        <f t="shared" ca="1" si="127"/>
        <v>Late</v>
      </c>
      <c r="T645" t="str">
        <f t="shared" ca="1" si="128"/>
        <v>61-90</v>
      </c>
      <c r="U645">
        <f t="shared" ca="1" si="129"/>
        <v>16</v>
      </c>
      <c r="V645" t="str">
        <f t="shared" ca="1" si="130"/>
        <v>Inefficient</v>
      </c>
      <c r="W645">
        <f t="shared" si="131"/>
        <v>52085.57</v>
      </c>
    </row>
    <row r="646" spans="1:23" x14ac:dyDescent="0.35">
      <c r="A646" t="s">
        <v>671</v>
      </c>
      <c r="B646" t="s">
        <v>29</v>
      </c>
      <c r="C646" s="1">
        <v>45203</v>
      </c>
      <c r="D646" s="1">
        <v>45222</v>
      </c>
      <c r="E646" t="s">
        <v>39</v>
      </c>
      <c r="F646" t="s">
        <v>35</v>
      </c>
      <c r="G646">
        <v>481</v>
      </c>
      <c r="H646">
        <v>90.49</v>
      </c>
      <c r="I646">
        <v>77.17</v>
      </c>
      <c r="K646">
        <f t="shared" si="120"/>
        <v>481</v>
      </c>
      <c r="L646" t="s">
        <v>15</v>
      </c>
      <c r="M646" s="1">
        <f t="shared" si="121"/>
        <v>45222</v>
      </c>
      <c r="N646" t="str">
        <f t="shared" ca="1" si="122"/>
        <v>Net 30</v>
      </c>
      <c r="O646">
        <f t="shared" ca="1" si="123"/>
        <v>30</v>
      </c>
      <c r="P646" s="1">
        <f t="shared" ca="1" si="124"/>
        <v>45252</v>
      </c>
      <c r="Q646" s="1">
        <f t="shared" ca="1" si="125"/>
        <v>45266</v>
      </c>
      <c r="R646">
        <f t="shared" ca="1" si="126"/>
        <v>44</v>
      </c>
      <c r="S646" t="str">
        <f t="shared" ca="1" si="127"/>
        <v>Late</v>
      </c>
      <c r="T646" t="str">
        <f t="shared" ca="1" si="128"/>
        <v>31-60</v>
      </c>
      <c r="U646">
        <f t="shared" ca="1" si="129"/>
        <v>14</v>
      </c>
      <c r="V646" t="str">
        <f t="shared" ca="1" si="130"/>
        <v>Inefficient</v>
      </c>
      <c r="W646">
        <f t="shared" si="131"/>
        <v>37118.770000000004</v>
      </c>
    </row>
    <row r="647" spans="1:23" x14ac:dyDescent="0.35">
      <c r="A647" t="s">
        <v>672</v>
      </c>
      <c r="B647" t="s">
        <v>20</v>
      </c>
      <c r="C647" s="1">
        <v>44806</v>
      </c>
      <c r="D647" s="1">
        <v>44813</v>
      </c>
      <c r="E647" t="s">
        <v>13</v>
      </c>
      <c r="F647" t="s">
        <v>18</v>
      </c>
      <c r="G647">
        <v>390</v>
      </c>
      <c r="H647">
        <v>103.81</v>
      </c>
      <c r="I647">
        <v>100.12</v>
      </c>
      <c r="J647">
        <v>20</v>
      </c>
      <c r="K647">
        <f t="shared" si="120"/>
        <v>370</v>
      </c>
      <c r="L647" t="s">
        <v>15</v>
      </c>
      <c r="M647" s="1">
        <f t="shared" si="121"/>
        <v>44813</v>
      </c>
      <c r="N647" t="str">
        <f t="shared" ca="1" si="122"/>
        <v>Net 30</v>
      </c>
      <c r="O647">
        <f t="shared" ca="1" si="123"/>
        <v>30</v>
      </c>
      <c r="P647" s="1">
        <f t="shared" ca="1" si="124"/>
        <v>44843</v>
      </c>
      <c r="Q647" s="1">
        <f t="shared" ca="1" si="125"/>
        <v>44846</v>
      </c>
      <c r="R647">
        <f t="shared" ca="1" si="126"/>
        <v>33</v>
      </c>
      <c r="S647" t="str">
        <f t="shared" ca="1" si="127"/>
        <v>Late</v>
      </c>
      <c r="T647" t="str">
        <f t="shared" ca="1" si="128"/>
        <v>31-60</v>
      </c>
      <c r="U647">
        <f t="shared" ca="1" si="129"/>
        <v>3</v>
      </c>
      <c r="V647" t="str">
        <f t="shared" ca="1" si="130"/>
        <v>Inefficient</v>
      </c>
      <c r="W647">
        <f t="shared" si="131"/>
        <v>39046.800000000003</v>
      </c>
    </row>
    <row r="648" spans="1:23" x14ac:dyDescent="0.35">
      <c r="A648" t="s">
        <v>673</v>
      </c>
      <c r="B648" t="s">
        <v>29</v>
      </c>
      <c r="C648" s="1">
        <v>44843</v>
      </c>
      <c r="D648" s="1">
        <v>44859</v>
      </c>
      <c r="E648" t="s">
        <v>24</v>
      </c>
      <c r="F648" t="s">
        <v>18</v>
      </c>
      <c r="G648">
        <v>600</v>
      </c>
      <c r="H648">
        <v>43.43</v>
      </c>
      <c r="I648">
        <v>38.76</v>
      </c>
      <c r="J648">
        <v>22</v>
      </c>
      <c r="K648">
        <f t="shared" si="120"/>
        <v>578</v>
      </c>
      <c r="L648" t="s">
        <v>15</v>
      </c>
      <c r="M648" s="1">
        <f t="shared" si="121"/>
        <v>44859</v>
      </c>
      <c r="N648" t="str">
        <f t="shared" ca="1" si="122"/>
        <v>Net 15</v>
      </c>
      <c r="O648">
        <f t="shared" ca="1" si="123"/>
        <v>15</v>
      </c>
      <c r="P648" s="1">
        <f t="shared" ca="1" si="124"/>
        <v>44874</v>
      </c>
      <c r="Q648" s="1">
        <f t="shared" ca="1" si="125"/>
        <v>44871</v>
      </c>
      <c r="R648">
        <f t="shared" ca="1" si="126"/>
        <v>12</v>
      </c>
      <c r="S648" t="str">
        <f t="shared" ca="1" si="127"/>
        <v>On Time</v>
      </c>
      <c r="T648" t="str">
        <f t="shared" ca="1" si="128"/>
        <v>0-30</v>
      </c>
      <c r="U648">
        <f t="shared" ca="1" si="129"/>
        <v>0</v>
      </c>
      <c r="V648" t="str">
        <f t="shared" ca="1" si="130"/>
        <v>Efficient</v>
      </c>
      <c r="W648">
        <f t="shared" si="131"/>
        <v>23256</v>
      </c>
    </row>
    <row r="649" spans="1:23" x14ac:dyDescent="0.35">
      <c r="A649" t="s">
        <v>674</v>
      </c>
      <c r="B649" t="s">
        <v>17</v>
      </c>
      <c r="C649" s="1">
        <v>45012</v>
      </c>
      <c r="E649" t="s">
        <v>13</v>
      </c>
      <c r="F649" t="s">
        <v>18</v>
      </c>
      <c r="G649">
        <v>1685</v>
      </c>
      <c r="H649">
        <v>84.58</v>
      </c>
      <c r="I649">
        <v>75.209999999999994</v>
      </c>
      <c r="J649">
        <v>253</v>
      </c>
      <c r="K649">
        <f t="shared" si="120"/>
        <v>1432</v>
      </c>
      <c r="L649" t="s">
        <v>27</v>
      </c>
      <c r="M649" s="1">
        <f t="shared" si="121"/>
        <v>0</v>
      </c>
      <c r="N649" t="str">
        <f t="shared" ca="1" si="122"/>
        <v>Net 15</v>
      </c>
      <c r="O649">
        <f t="shared" ca="1" si="123"/>
        <v>15</v>
      </c>
      <c r="P649" s="1">
        <f t="shared" ca="1" si="124"/>
        <v>15</v>
      </c>
      <c r="Q649" s="1">
        <f t="shared" ca="1" si="125"/>
        <v>22</v>
      </c>
      <c r="R649">
        <f t="shared" ca="1" si="126"/>
        <v>22</v>
      </c>
      <c r="S649" t="str">
        <f t="shared" ca="1" si="127"/>
        <v>Late</v>
      </c>
      <c r="T649" t="str">
        <f t="shared" ca="1" si="128"/>
        <v>0-30</v>
      </c>
      <c r="U649">
        <f t="shared" ca="1" si="129"/>
        <v>7</v>
      </c>
      <c r="V649" t="str">
        <f t="shared" ca="1" si="130"/>
        <v>Inefficient</v>
      </c>
      <c r="W649">
        <f t="shared" si="131"/>
        <v>126728.84999999999</v>
      </c>
    </row>
    <row r="650" spans="1:23" x14ac:dyDescent="0.35">
      <c r="A650" t="s">
        <v>675</v>
      </c>
      <c r="B650" t="s">
        <v>29</v>
      </c>
      <c r="C650" s="1">
        <v>44641</v>
      </c>
      <c r="D650" s="1">
        <v>44651</v>
      </c>
      <c r="E650" t="s">
        <v>24</v>
      </c>
      <c r="F650" t="s">
        <v>14</v>
      </c>
      <c r="G650">
        <v>1362</v>
      </c>
      <c r="H650">
        <v>46.64</v>
      </c>
      <c r="I650">
        <v>42.85</v>
      </c>
      <c r="J650">
        <v>33</v>
      </c>
      <c r="K650">
        <f t="shared" si="120"/>
        <v>1329</v>
      </c>
      <c r="L650" t="s">
        <v>15</v>
      </c>
      <c r="M650" s="1">
        <f t="shared" si="121"/>
        <v>44651</v>
      </c>
      <c r="N650" t="str">
        <f t="shared" ca="1" si="122"/>
        <v>Net 15</v>
      </c>
      <c r="O650">
        <f t="shared" ca="1" si="123"/>
        <v>15</v>
      </c>
      <c r="P650" s="1">
        <f t="shared" ca="1" si="124"/>
        <v>44666</v>
      </c>
      <c r="Q650" s="1">
        <f t="shared" ca="1" si="125"/>
        <v>44676</v>
      </c>
      <c r="R650">
        <f t="shared" ca="1" si="126"/>
        <v>25</v>
      </c>
      <c r="S650" t="str">
        <f t="shared" ca="1" si="127"/>
        <v>Late</v>
      </c>
      <c r="T650" t="str">
        <f t="shared" ca="1" si="128"/>
        <v>0-30</v>
      </c>
      <c r="U650">
        <f t="shared" ca="1" si="129"/>
        <v>10</v>
      </c>
      <c r="V650" t="str">
        <f t="shared" ca="1" si="130"/>
        <v>Inefficient</v>
      </c>
      <c r="W650">
        <f t="shared" si="131"/>
        <v>58361.700000000004</v>
      </c>
    </row>
    <row r="651" spans="1:23" x14ac:dyDescent="0.35">
      <c r="A651" t="s">
        <v>676</v>
      </c>
      <c r="B651" t="s">
        <v>17</v>
      </c>
      <c r="C651" s="1">
        <v>45292</v>
      </c>
      <c r="D651" s="1">
        <v>45295</v>
      </c>
      <c r="E651" t="s">
        <v>39</v>
      </c>
      <c r="F651" t="s">
        <v>35</v>
      </c>
      <c r="G651">
        <v>1327</v>
      </c>
      <c r="H651">
        <v>59.57</v>
      </c>
      <c r="I651">
        <v>56.44</v>
      </c>
      <c r="J651">
        <v>169</v>
      </c>
      <c r="K651">
        <f t="shared" si="120"/>
        <v>1158</v>
      </c>
      <c r="L651" t="s">
        <v>15</v>
      </c>
      <c r="M651" s="1">
        <f t="shared" si="121"/>
        <v>45295</v>
      </c>
      <c r="N651" t="str">
        <f t="shared" ca="1" si="122"/>
        <v>Net 30</v>
      </c>
      <c r="O651">
        <f t="shared" ca="1" si="123"/>
        <v>30</v>
      </c>
      <c r="P651" s="1">
        <f t="shared" ca="1" si="124"/>
        <v>45325</v>
      </c>
      <c r="Q651" s="1">
        <f t="shared" ca="1" si="125"/>
        <v>45335</v>
      </c>
      <c r="R651">
        <f t="shared" ca="1" si="126"/>
        <v>40</v>
      </c>
      <c r="S651" t="str">
        <f t="shared" ca="1" si="127"/>
        <v>Late</v>
      </c>
      <c r="T651" t="str">
        <f t="shared" ca="1" si="128"/>
        <v>31-60</v>
      </c>
      <c r="U651">
        <f t="shared" ca="1" si="129"/>
        <v>10</v>
      </c>
      <c r="V651" t="str">
        <f t="shared" ca="1" si="130"/>
        <v>Inefficient</v>
      </c>
      <c r="W651">
        <f t="shared" si="131"/>
        <v>74895.87999999999</v>
      </c>
    </row>
    <row r="652" spans="1:23" x14ac:dyDescent="0.35">
      <c r="A652" t="s">
        <v>677</v>
      </c>
      <c r="B652" t="s">
        <v>29</v>
      </c>
      <c r="C652" s="1">
        <v>44854</v>
      </c>
      <c r="E652" t="s">
        <v>21</v>
      </c>
      <c r="F652" t="s">
        <v>18</v>
      </c>
      <c r="G652">
        <v>1807</v>
      </c>
      <c r="H652">
        <v>69.47</v>
      </c>
      <c r="I652">
        <v>60</v>
      </c>
      <c r="J652">
        <v>50</v>
      </c>
      <c r="K652">
        <f t="shared" si="120"/>
        <v>1757</v>
      </c>
      <c r="L652" t="s">
        <v>15</v>
      </c>
      <c r="M652" s="1">
        <f t="shared" si="121"/>
        <v>0</v>
      </c>
      <c r="N652" t="str">
        <f t="shared" ca="1" si="122"/>
        <v>Net 30</v>
      </c>
      <c r="O652">
        <f t="shared" ca="1" si="123"/>
        <v>30</v>
      </c>
      <c r="P652" s="1">
        <f t="shared" ca="1" si="124"/>
        <v>30</v>
      </c>
      <c r="Q652" s="1">
        <f t="shared" ca="1" si="125"/>
        <v>50</v>
      </c>
      <c r="R652">
        <f t="shared" ca="1" si="126"/>
        <v>50</v>
      </c>
      <c r="S652" t="str">
        <f t="shared" ca="1" si="127"/>
        <v>Late</v>
      </c>
      <c r="T652" t="str">
        <f t="shared" ca="1" si="128"/>
        <v>31-60</v>
      </c>
      <c r="U652">
        <f t="shared" ca="1" si="129"/>
        <v>20</v>
      </c>
      <c r="V652" t="str">
        <f t="shared" ca="1" si="130"/>
        <v>Inefficient</v>
      </c>
      <c r="W652">
        <f t="shared" si="131"/>
        <v>108420</v>
      </c>
    </row>
    <row r="653" spans="1:23" x14ac:dyDescent="0.35">
      <c r="A653" t="s">
        <v>678</v>
      </c>
      <c r="B653" t="s">
        <v>12</v>
      </c>
      <c r="C653" s="1">
        <v>44802</v>
      </c>
      <c r="D653" s="1">
        <v>44810</v>
      </c>
      <c r="E653" t="s">
        <v>13</v>
      </c>
      <c r="F653" t="s">
        <v>35</v>
      </c>
      <c r="G653">
        <v>406</v>
      </c>
      <c r="H653">
        <v>91.73</v>
      </c>
      <c r="I653">
        <v>89.13</v>
      </c>
      <c r="K653">
        <f t="shared" si="120"/>
        <v>406</v>
      </c>
      <c r="L653" t="s">
        <v>15</v>
      </c>
      <c r="M653" s="1">
        <f t="shared" si="121"/>
        <v>44810</v>
      </c>
      <c r="N653" t="str">
        <f t="shared" ca="1" si="122"/>
        <v>Net 15</v>
      </c>
      <c r="O653">
        <f t="shared" ca="1" si="123"/>
        <v>15</v>
      </c>
      <c r="P653" s="1">
        <f t="shared" ca="1" si="124"/>
        <v>44825</v>
      </c>
      <c r="Q653" s="1">
        <f t="shared" ca="1" si="125"/>
        <v>44842</v>
      </c>
      <c r="R653">
        <f t="shared" ca="1" si="126"/>
        <v>32</v>
      </c>
      <c r="S653" t="str">
        <f t="shared" ca="1" si="127"/>
        <v>Late</v>
      </c>
      <c r="T653" t="str">
        <f t="shared" ca="1" si="128"/>
        <v>31-60</v>
      </c>
      <c r="U653">
        <f t="shared" ca="1" si="129"/>
        <v>17</v>
      </c>
      <c r="V653" t="str">
        <f t="shared" ca="1" si="130"/>
        <v>Inefficient</v>
      </c>
      <c r="W653">
        <f t="shared" si="131"/>
        <v>36186.78</v>
      </c>
    </row>
    <row r="654" spans="1:23" x14ac:dyDescent="0.35">
      <c r="A654" t="s">
        <v>679</v>
      </c>
      <c r="B654" t="s">
        <v>20</v>
      </c>
      <c r="C654" s="1">
        <v>44840</v>
      </c>
      <c r="D654" s="1">
        <v>44852</v>
      </c>
      <c r="E654" t="s">
        <v>26</v>
      </c>
      <c r="F654" t="s">
        <v>33</v>
      </c>
      <c r="G654">
        <v>72</v>
      </c>
      <c r="H654">
        <v>103</v>
      </c>
      <c r="I654">
        <v>89.49</v>
      </c>
      <c r="J654">
        <v>1</v>
      </c>
      <c r="K654">
        <f t="shared" si="120"/>
        <v>71</v>
      </c>
      <c r="L654" t="s">
        <v>27</v>
      </c>
      <c r="M654" s="1">
        <f t="shared" si="121"/>
        <v>44852</v>
      </c>
      <c r="N654" t="str">
        <f t="shared" ca="1" si="122"/>
        <v>Net 30</v>
      </c>
      <c r="O654">
        <f t="shared" ca="1" si="123"/>
        <v>30</v>
      </c>
      <c r="P654" s="1">
        <f t="shared" ca="1" si="124"/>
        <v>44882</v>
      </c>
      <c r="Q654" s="1">
        <f t="shared" ca="1" si="125"/>
        <v>44893</v>
      </c>
      <c r="R654">
        <f t="shared" ca="1" si="126"/>
        <v>41</v>
      </c>
      <c r="S654" t="str">
        <f t="shared" ca="1" si="127"/>
        <v>Late</v>
      </c>
      <c r="T654" t="str">
        <f t="shared" ca="1" si="128"/>
        <v>31-60</v>
      </c>
      <c r="U654">
        <f t="shared" ca="1" si="129"/>
        <v>11</v>
      </c>
      <c r="V654" t="str">
        <f t="shared" ca="1" si="130"/>
        <v>Inefficient</v>
      </c>
      <c r="W654">
        <f t="shared" si="131"/>
        <v>6443.28</v>
      </c>
    </row>
    <row r="655" spans="1:23" x14ac:dyDescent="0.35">
      <c r="A655" t="s">
        <v>680</v>
      </c>
      <c r="B655" t="s">
        <v>20</v>
      </c>
      <c r="C655" s="1">
        <v>44905</v>
      </c>
      <c r="D655" s="1">
        <v>44915</v>
      </c>
      <c r="E655" t="s">
        <v>13</v>
      </c>
      <c r="F655" t="s">
        <v>18</v>
      </c>
      <c r="G655">
        <v>1835</v>
      </c>
      <c r="H655">
        <v>83.5</v>
      </c>
      <c r="I655">
        <v>82.36</v>
      </c>
      <c r="J655">
        <v>85</v>
      </c>
      <c r="K655">
        <f t="shared" si="120"/>
        <v>1750</v>
      </c>
      <c r="L655" t="s">
        <v>27</v>
      </c>
      <c r="M655" s="1">
        <f t="shared" si="121"/>
        <v>44915</v>
      </c>
      <c r="N655" t="str">
        <f t="shared" ca="1" si="122"/>
        <v>Net 30</v>
      </c>
      <c r="O655">
        <f t="shared" ca="1" si="123"/>
        <v>30</v>
      </c>
      <c r="P655" s="1">
        <f t="shared" ca="1" si="124"/>
        <v>44945</v>
      </c>
      <c r="Q655" s="1">
        <f t="shared" ca="1" si="125"/>
        <v>44945</v>
      </c>
      <c r="R655">
        <f t="shared" ca="1" si="126"/>
        <v>30</v>
      </c>
      <c r="S655" t="str">
        <f t="shared" ca="1" si="127"/>
        <v>On Time</v>
      </c>
      <c r="T655" t="str">
        <f t="shared" ca="1" si="128"/>
        <v>0-30</v>
      </c>
      <c r="U655">
        <f t="shared" ca="1" si="129"/>
        <v>0</v>
      </c>
      <c r="V655" t="str">
        <f t="shared" ca="1" si="130"/>
        <v>Efficient</v>
      </c>
      <c r="W655">
        <f t="shared" si="131"/>
        <v>151130.6</v>
      </c>
    </row>
    <row r="656" spans="1:23" x14ac:dyDescent="0.35">
      <c r="A656" t="s">
        <v>681</v>
      </c>
      <c r="B656" t="s">
        <v>17</v>
      </c>
      <c r="C656" s="1">
        <v>44889</v>
      </c>
      <c r="D656" s="1">
        <v>44905</v>
      </c>
      <c r="E656" t="s">
        <v>39</v>
      </c>
      <c r="F656" t="s">
        <v>35</v>
      </c>
      <c r="G656">
        <v>571</v>
      </c>
      <c r="H656">
        <v>49.98</v>
      </c>
      <c r="I656">
        <v>45.58</v>
      </c>
      <c r="K656">
        <f t="shared" si="120"/>
        <v>571</v>
      </c>
      <c r="L656" t="s">
        <v>27</v>
      </c>
      <c r="M656" s="1">
        <f t="shared" si="121"/>
        <v>44905</v>
      </c>
      <c r="N656" t="str">
        <f t="shared" ca="1" si="122"/>
        <v>Net 45</v>
      </c>
      <c r="O656">
        <f t="shared" ca="1" si="123"/>
        <v>45</v>
      </c>
      <c r="P656" s="1">
        <f t="shared" ca="1" si="124"/>
        <v>44950</v>
      </c>
      <c r="Q656" s="1">
        <f t="shared" ca="1" si="125"/>
        <v>44950</v>
      </c>
      <c r="R656">
        <f t="shared" ca="1" si="126"/>
        <v>45</v>
      </c>
      <c r="S656" t="str">
        <f t="shared" ca="1" si="127"/>
        <v>On Time</v>
      </c>
      <c r="T656" t="str">
        <f t="shared" ca="1" si="128"/>
        <v>31-60</v>
      </c>
      <c r="U656">
        <f t="shared" ca="1" si="129"/>
        <v>0</v>
      </c>
      <c r="V656" t="str">
        <f t="shared" ca="1" si="130"/>
        <v>Efficient</v>
      </c>
      <c r="W656">
        <f t="shared" si="131"/>
        <v>26026.18</v>
      </c>
    </row>
    <row r="657" spans="1:23" x14ac:dyDescent="0.35">
      <c r="A657" t="s">
        <v>682</v>
      </c>
      <c r="B657" t="s">
        <v>29</v>
      </c>
      <c r="C657" s="1">
        <v>45115</v>
      </c>
      <c r="D657" s="1">
        <v>45116</v>
      </c>
      <c r="E657" t="s">
        <v>24</v>
      </c>
      <c r="F657" t="s">
        <v>18</v>
      </c>
      <c r="G657">
        <v>1831</v>
      </c>
      <c r="H657">
        <v>52.24</v>
      </c>
      <c r="I657">
        <v>50.44</v>
      </c>
      <c r="J657">
        <v>60</v>
      </c>
      <c r="K657">
        <f t="shared" si="120"/>
        <v>1771</v>
      </c>
      <c r="L657" t="s">
        <v>15</v>
      </c>
      <c r="M657" s="1">
        <f t="shared" si="121"/>
        <v>45116</v>
      </c>
      <c r="N657" t="str">
        <f t="shared" ca="1" si="122"/>
        <v>Net 45</v>
      </c>
      <c r="O657">
        <f t="shared" ca="1" si="123"/>
        <v>45</v>
      </c>
      <c r="P657" s="1">
        <f t="shared" ca="1" si="124"/>
        <v>45161</v>
      </c>
      <c r="Q657" s="1">
        <f t="shared" ca="1" si="125"/>
        <v>45178</v>
      </c>
      <c r="R657">
        <f t="shared" ca="1" si="126"/>
        <v>62</v>
      </c>
      <c r="S657" t="str">
        <f t="shared" ca="1" si="127"/>
        <v>Late</v>
      </c>
      <c r="T657" t="str">
        <f t="shared" ca="1" si="128"/>
        <v>61-90</v>
      </c>
      <c r="U657">
        <f t="shared" ca="1" si="129"/>
        <v>17</v>
      </c>
      <c r="V657" t="str">
        <f t="shared" ca="1" si="130"/>
        <v>Inefficient</v>
      </c>
      <c r="W657">
        <f t="shared" si="131"/>
        <v>92355.64</v>
      </c>
    </row>
    <row r="658" spans="1:23" x14ac:dyDescent="0.35">
      <c r="A658" t="s">
        <v>683</v>
      </c>
      <c r="B658" t="s">
        <v>23</v>
      </c>
      <c r="C658" s="1">
        <v>44644</v>
      </c>
      <c r="D658" s="1">
        <v>44658</v>
      </c>
      <c r="E658" t="s">
        <v>13</v>
      </c>
      <c r="F658" t="s">
        <v>35</v>
      </c>
      <c r="G658">
        <v>1910</v>
      </c>
      <c r="H658">
        <v>77.150000000000006</v>
      </c>
      <c r="I658">
        <v>68.489999999999995</v>
      </c>
      <c r="J658">
        <v>170</v>
      </c>
      <c r="K658">
        <f t="shared" si="120"/>
        <v>1740</v>
      </c>
      <c r="L658" t="s">
        <v>15</v>
      </c>
      <c r="M658" s="1">
        <f t="shared" si="121"/>
        <v>44658</v>
      </c>
      <c r="N658" t="str">
        <f t="shared" ca="1" si="122"/>
        <v>Net 45</v>
      </c>
      <c r="O658">
        <f t="shared" ca="1" si="123"/>
        <v>45</v>
      </c>
      <c r="P658" s="1">
        <f t="shared" ca="1" si="124"/>
        <v>44703</v>
      </c>
      <c r="Q658" s="1">
        <f t="shared" ca="1" si="125"/>
        <v>44703</v>
      </c>
      <c r="R658">
        <f t="shared" ca="1" si="126"/>
        <v>45</v>
      </c>
      <c r="S658" t="str">
        <f t="shared" ca="1" si="127"/>
        <v>On Time</v>
      </c>
      <c r="T658" t="str">
        <f t="shared" ca="1" si="128"/>
        <v>31-60</v>
      </c>
      <c r="U658">
        <f t="shared" ca="1" si="129"/>
        <v>0</v>
      </c>
      <c r="V658" t="str">
        <f t="shared" ca="1" si="130"/>
        <v>Efficient</v>
      </c>
      <c r="W658">
        <f t="shared" si="131"/>
        <v>130815.9</v>
      </c>
    </row>
    <row r="659" spans="1:23" x14ac:dyDescent="0.35">
      <c r="A659" t="s">
        <v>684</v>
      </c>
      <c r="B659" t="s">
        <v>20</v>
      </c>
      <c r="C659" s="1">
        <v>44703</v>
      </c>
      <c r="D659" s="1">
        <v>44712</v>
      </c>
      <c r="E659" t="s">
        <v>39</v>
      </c>
      <c r="F659" t="s">
        <v>33</v>
      </c>
      <c r="G659">
        <v>1173</v>
      </c>
      <c r="H659">
        <v>32.119999999999997</v>
      </c>
      <c r="I659">
        <v>29.18</v>
      </c>
      <c r="K659">
        <f t="shared" si="120"/>
        <v>1173</v>
      </c>
      <c r="L659" t="s">
        <v>15</v>
      </c>
      <c r="M659" s="1">
        <f t="shared" si="121"/>
        <v>44712</v>
      </c>
      <c r="N659" t="str">
        <f t="shared" ca="1" si="122"/>
        <v>Net 45</v>
      </c>
      <c r="O659">
        <f t="shared" ca="1" si="123"/>
        <v>45</v>
      </c>
      <c r="P659" s="1">
        <f t="shared" ca="1" si="124"/>
        <v>44757</v>
      </c>
      <c r="Q659" s="1">
        <f t="shared" ca="1" si="125"/>
        <v>44757</v>
      </c>
      <c r="R659">
        <f t="shared" ca="1" si="126"/>
        <v>45</v>
      </c>
      <c r="S659" t="str">
        <f t="shared" ca="1" si="127"/>
        <v>On Time</v>
      </c>
      <c r="T659" t="str">
        <f t="shared" ca="1" si="128"/>
        <v>31-60</v>
      </c>
      <c r="U659">
        <f t="shared" ca="1" si="129"/>
        <v>0</v>
      </c>
      <c r="V659" t="str">
        <f t="shared" ca="1" si="130"/>
        <v>Efficient</v>
      </c>
      <c r="W659">
        <f t="shared" si="131"/>
        <v>34228.14</v>
      </c>
    </row>
    <row r="660" spans="1:23" x14ac:dyDescent="0.35">
      <c r="A660" t="s">
        <v>685</v>
      </c>
      <c r="B660" t="s">
        <v>29</v>
      </c>
      <c r="C660" s="1">
        <v>44716</v>
      </c>
      <c r="D660" s="1">
        <v>44729</v>
      </c>
      <c r="E660" t="s">
        <v>24</v>
      </c>
      <c r="F660" t="s">
        <v>33</v>
      </c>
      <c r="G660">
        <v>851</v>
      </c>
      <c r="H660">
        <v>20.440000000000001</v>
      </c>
      <c r="I660">
        <v>19.22</v>
      </c>
      <c r="J660">
        <v>22</v>
      </c>
      <c r="K660">
        <f t="shared" si="120"/>
        <v>829</v>
      </c>
      <c r="L660" t="s">
        <v>15</v>
      </c>
      <c r="M660" s="1">
        <f t="shared" si="121"/>
        <v>44729</v>
      </c>
      <c r="N660" t="str">
        <f t="shared" ca="1" si="122"/>
        <v>Net 15</v>
      </c>
      <c r="O660">
        <f t="shared" ca="1" si="123"/>
        <v>15</v>
      </c>
      <c r="P660" s="1">
        <f t="shared" ca="1" si="124"/>
        <v>44744</v>
      </c>
      <c r="Q660" s="1">
        <f t="shared" ca="1" si="125"/>
        <v>44758</v>
      </c>
      <c r="R660">
        <f t="shared" ca="1" si="126"/>
        <v>29</v>
      </c>
      <c r="S660" t="str">
        <f t="shared" ca="1" si="127"/>
        <v>Late</v>
      </c>
      <c r="T660" t="str">
        <f t="shared" ca="1" si="128"/>
        <v>0-30</v>
      </c>
      <c r="U660">
        <f t="shared" ca="1" si="129"/>
        <v>14</v>
      </c>
      <c r="V660" t="str">
        <f t="shared" ca="1" si="130"/>
        <v>Inefficient</v>
      </c>
      <c r="W660">
        <f t="shared" si="131"/>
        <v>16356.22</v>
      </c>
    </row>
    <row r="661" spans="1:23" x14ac:dyDescent="0.35">
      <c r="A661" t="s">
        <v>686</v>
      </c>
      <c r="B661" t="s">
        <v>29</v>
      </c>
      <c r="C661" s="1">
        <v>44798</v>
      </c>
      <c r="D661" s="1">
        <v>44811</v>
      </c>
      <c r="E661" t="s">
        <v>21</v>
      </c>
      <c r="F661" t="s">
        <v>14</v>
      </c>
      <c r="G661">
        <v>1253</v>
      </c>
      <c r="H661">
        <v>43.38</v>
      </c>
      <c r="I661">
        <v>38.01</v>
      </c>
      <c r="J661">
        <v>34</v>
      </c>
      <c r="K661">
        <f t="shared" si="120"/>
        <v>1219</v>
      </c>
      <c r="L661" t="s">
        <v>15</v>
      </c>
      <c r="M661" s="1">
        <f t="shared" si="121"/>
        <v>44811</v>
      </c>
      <c r="N661" t="str">
        <f t="shared" ca="1" si="122"/>
        <v>Net 15</v>
      </c>
      <c r="O661">
        <f t="shared" ca="1" si="123"/>
        <v>15</v>
      </c>
      <c r="P661" s="1">
        <f t="shared" ca="1" si="124"/>
        <v>44826</v>
      </c>
      <c r="Q661" s="1">
        <f t="shared" ca="1" si="125"/>
        <v>44827</v>
      </c>
      <c r="R661">
        <f t="shared" ca="1" si="126"/>
        <v>16</v>
      </c>
      <c r="S661" t="str">
        <f t="shared" ca="1" si="127"/>
        <v>Late</v>
      </c>
      <c r="T661" t="str">
        <f t="shared" ca="1" si="128"/>
        <v>0-30</v>
      </c>
      <c r="U661">
        <f t="shared" ca="1" si="129"/>
        <v>1</v>
      </c>
      <c r="V661" t="str">
        <f t="shared" ca="1" si="130"/>
        <v>Inefficient</v>
      </c>
      <c r="W661">
        <f t="shared" si="131"/>
        <v>47626.53</v>
      </c>
    </row>
    <row r="662" spans="1:23" x14ac:dyDescent="0.35">
      <c r="A662" t="s">
        <v>687</v>
      </c>
      <c r="B662" t="s">
        <v>12</v>
      </c>
      <c r="C662" s="1">
        <v>44954</v>
      </c>
      <c r="D662" s="1">
        <v>44972</v>
      </c>
      <c r="E662" t="s">
        <v>39</v>
      </c>
      <c r="F662" t="s">
        <v>18</v>
      </c>
      <c r="G662">
        <v>1296</v>
      </c>
      <c r="H662">
        <v>38</v>
      </c>
      <c r="I662">
        <v>33.42</v>
      </c>
      <c r="J662">
        <v>33</v>
      </c>
      <c r="K662">
        <f t="shared" si="120"/>
        <v>1263</v>
      </c>
      <c r="L662" t="s">
        <v>15</v>
      </c>
      <c r="M662" s="1">
        <f t="shared" si="121"/>
        <v>44972</v>
      </c>
      <c r="N662" t="str">
        <f t="shared" ca="1" si="122"/>
        <v>Net 15</v>
      </c>
      <c r="O662">
        <f t="shared" ca="1" si="123"/>
        <v>15</v>
      </c>
      <c r="P662" s="1">
        <f t="shared" ca="1" si="124"/>
        <v>44987</v>
      </c>
      <c r="Q662" s="1">
        <f t="shared" ca="1" si="125"/>
        <v>44994</v>
      </c>
      <c r="R662">
        <f t="shared" ca="1" si="126"/>
        <v>22</v>
      </c>
      <c r="S662" t="str">
        <f t="shared" ca="1" si="127"/>
        <v>Late</v>
      </c>
      <c r="T662" t="str">
        <f t="shared" ca="1" si="128"/>
        <v>0-30</v>
      </c>
      <c r="U662">
        <f t="shared" ca="1" si="129"/>
        <v>7</v>
      </c>
      <c r="V662" t="str">
        <f t="shared" ca="1" si="130"/>
        <v>Inefficient</v>
      </c>
      <c r="W662">
        <f t="shared" si="131"/>
        <v>43312.32</v>
      </c>
    </row>
    <row r="663" spans="1:23" x14ac:dyDescent="0.35">
      <c r="A663" t="s">
        <v>688</v>
      </c>
      <c r="B663" t="s">
        <v>23</v>
      </c>
      <c r="C663" s="1">
        <v>45272</v>
      </c>
      <c r="D663" s="1">
        <v>45290</v>
      </c>
      <c r="E663" t="s">
        <v>26</v>
      </c>
      <c r="F663" t="s">
        <v>18</v>
      </c>
      <c r="G663">
        <v>1979</v>
      </c>
      <c r="H663">
        <v>40.880000000000003</v>
      </c>
      <c r="I663">
        <v>39.46</v>
      </c>
      <c r="J663">
        <v>221</v>
      </c>
      <c r="K663">
        <f t="shared" si="120"/>
        <v>1758</v>
      </c>
      <c r="L663" t="s">
        <v>15</v>
      </c>
      <c r="M663" s="1">
        <f t="shared" si="121"/>
        <v>45290</v>
      </c>
      <c r="N663" t="str">
        <f t="shared" ca="1" si="122"/>
        <v>Net 45</v>
      </c>
      <c r="O663">
        <f t="shared" ca="1" si="123"/>
        <v>45</v>
      </c>
      <c r="P663" s="1">
        <f t="shared" ca="1" si="124"/>
        <v>45335</v>
      </c>
      <c r="Q663" s="1">
        <f t="shared" ca="1" si="125"/>
        <v>45349</v>
      </c>
      <c r="R663">
        <f t="shared" ca="1" si="126"/>
        <v>59</v>
      </c>
      <c r="S663" t="str">
        <f t="shared" ca="1" si="127"/>
        <v>Late</v>
      </c>
      <c r="T663" t="str">
        <f t="shared" ca="1" si="128"/>
        <v>31-60</v>
      </c>
      <c r="U663">
        <f t="shared" ca="1" si="129"/>
        <v>14</v>
      </c>
      <c r="V663" t="str">
        <f t="shared" ca="1" si="130"/>
        <v>Inefficient</v>
      </c>
      <c r="W663">
        <f t="shared" si="131"/>
        <v>78091.34</v>
      </c>
    </row>
    <row r="664" spans="1:23" x14ac:dyDescent="0.35">
      <c r="A664" t="s">
        <v>689</v>
      </c>
      <c r="B664" t="s">
        <v>20</v>
      </c>
      <c r="C664" s="1">
        <v>44718</v>
      </c>
      <c r="D664" s="1">
        <v>44731</v>
      </c>
      <c r="E664" t="s">
        <v>13</v>
      </c>
      <c r="F664" t="s">
        <v>18</v>
      </c>
      <c r="G664">
        <v>811</v>
      </c>
      <c r="H664">
        <v>31.8</v>
      </c>
      <c r="I664">
        <v>30.33</v>
      </c>
      <c r="J664">
        <v>58</v>
      </c>
      <c r="K664">
        <f t="shared" si="120"/>
        <v>753</v>
      </c>
      <c r="L664" t="s">
        <v>15</v>
      </c>
      <c r="M664" s="1">
        <f t="shared" si="121"/>
        <v>44731</v>
      </c>
      <c r="N664" t="str">
        <f t="shared" ca="1" si="122"/>
        <v>Net 15</v>
      </c>
      <c r="O664">
        <f t="shared" ca="1" si="123"/>
        <v>15</v>
      </c>
      <c r="P664" s="1">
        <f t="shared" ca="1" si="124"/>
        <v>44746</v>
      </c>
      <c r="Q664" s="1">
        <f t="shared" ca="1" si="125"/>
        <v>44747</v>
      </c>
      <c r="R664">
        <f t="shared" ca="1" si="126"/>
        <v>16</v>
      </c>
      <c r="S664" t="str">
        <f t="shared" ca="1" si="127"/>
        <v>Late</v>
      </c>
      <c r="T664" t="str">
        <f t="shared" ca="1" si="128"/>
        <v>0-30</v>
      </c>
      <c r="U664">
        <f t="shared" ca="1" si="129"/>
        <v>1</v>
      </c>
      <c r="V664" t="str">
        <f t="shared" ca="1" si="130"/>
        <v>Inefficient</v>
      </c>
      <c r="W664">
        <f t="shared" si="131"/>
        <v>24597.629999999997</v>
      </c>
    </row>
    <row r="665" spans="1:23" x14ac:dyDescent="0.35">
      <c r="A665" t="s">
        <v>690</v>
      </c>
      <c r="B665" t="s">
        <v>12</v>
      </c>
      <c r="C665" s="1">
        <v>45285</v>
      </c>
      <c r="D665" s="1">
        <v>45303</v>
      </c>
      <c r="E665" t="s">
        <v>39</v>
      </c>
      <c r="F665" t="s">
        <v>18</v>
      </c>
      <c r="G665">
        <v>1732</v>
      </c>
      <c r="H665">
        <v>15.37</v>
      </c>
      <c r="I665">
        <v>14.7</v>
      </c>
      <c r="J665">
        <v>38</v>
      </c>
      <c r="K665">
        <f t="shared" si="120"/>
        <v>1694</v>
      </c>
      <c r="L665" t="s">
        <v>15</v>
      </c>
      <c r="M665" s="1">
        <f t="shared" si="121"/>
        <v>45303</v>
      </c>
      <c r="N665" t="str">
        <f t="shared" ca="1" si="122"/>
        <v>Net 45</v>
      </c>
      <c r="O665">
        <f t="shared" ca="1" si="123"/>
        <v>45</v>
      </c>
      <c r="P665" s="1">
        <f t="shared" ca="1" si="124"/>
        <v>45348</v>
      </c>
      <c r="Q665" s="1">
        <f t="shared" ca="1" si="125"/>
        <v>45361</v>
      </c>
      <c r="R665">
        <f t="shared" ca="1" si="126"/>
        <v>58</v>
      </c>
      <c r="S665" t="str">
        <f t="shared" ca="1" si="127"/>
        <v>Late</v>
      </c>
      <c r="T665" t="str">
        <f t="shared" ca="1" si="128"/>
        <v>31-60</v>
      </c>
      <c r="U665">
        <f t="shared" ca="1" si="129"/>
        <v>13</v>
      </c>
      <c r="V665" t="str">
        <f t="shared" ca="1" si="130"/>
        <v>Inefficient</v>
      </c>
      <c r="W665">
        <f t="shared" si="131"/>
        <v>25460.399999999998</v>
      </c>
    </row>
    <row r="666" spans="1:23" x14ac:dyDescent="0.35">
      <c r="A666" t="s">
        <v>691</v>
      </c>
      <c r="B666" t="s">
        <v>23</v>
      </c>
      <c r="C666" s="1">
        <v>44781</v>
      </c>
      <c r="D666" s="1">
        <v>44801</v>
      </c>
      <c r="E666" t="s">
        <v>24</v>
      </c>
      <c r="F666" t="s">
        <v>18</v>
      </c>
      <c r="G666">
        <v>491</v>
      </c>
      <c r="H666">
        <v>12.01</v>
      </c>
      <c r="I666">
        <v>11.67</v>
      </c>
      <c r="J666">
        <v>47</v>
      </c>
      <c r="K666">
        <f t="shared" si="120"/>
        <v>444</v>
      </c>
      <c r="L666" t="s">
        <v>15</v>
      </c>
      <c r="M666" s="1">
        <f t="shared" si="121"/>
        <v>44801</v>
      </c>
      <c r="N666" t="str">
        <f t="shared" ca="1" si="122"/>
        <v>Net 30</v>
      </c>
      <c r="O666">
        <f t="shared" ca="1" si="123"/>
        <v>30</v>
      </c>
      <c r="P666" s="1">
        <f t="shared" ca="1" si="124"/>
        <v>44831</v>
      </c>
      <c r="Q666" s="1">
        <f t="shared" ca="1" si="125"/>
        <v>44836</v>
      </c>
      <c r="R666">
        <f t="shared" ca="1" si="126"/>
        <v>35</v>
      </c>
      <c r="S666" t="str">
        <f t="shared" ca="1" si="127"/>
        <v>Late</v>
      </c>
      <c r="T666" t="str">
        <f t="shared" ca="1" si="128"/>
        <v>31-60</v>
      </c>
      <c r="U666">
        <f t="shared" ca="1" si="129"/>
        <v>5</v>
      </c>
      <c r="V666" t="str">
        <f t="shared" ca="1" si="130"/>
        <v>Inefficient</v>
      </c>
      <c r="W666">
        <f t="shared" si="131"/>
        <v>5729.97</v>
      </c>
    </row>
    <row r="667" spans="1:23" x14ac:dyDescent="0.35">
      <c r="A667" t="s">
        <v>692</v>
      </c>
      <c r="B667" t="s">
        <v>20</v>
      </c>
      <c r="C667" s="1">
        <v>44627</v>
      </c>
      <c r="D667" s="1">
        <v>44631</v>
      </c>
      <c r="E667" t="s">
        <v>24</v>
      </c>
      <c r="F667" t="s">
        <v>14</v>
      </c>
      <c r="G667">
        <v>1681</v>
      </c>
      <c r="H667">
        <v>99.88</v>
      </c>
      <c r="I667">
        <v>96.38</v>
      </c>
      <c r="J667">
        <v>90</v>
      </c>
      <c r="K667">
        <f t="shared" si="120"/>
        <v>1591</v>
      </c>
      <c r="L667" t="s">
        <v>15</v>
      </c>
      <c r="M667" s="1">
        <f t="shared" si="121"/>
        <v>44631</v>
      </c>
      <c r="N667" t="str">
        <f t="shared" ca="1" si="122"/>
        <v>Net 45</v>
      </c>
      <c r="O667">
        <f t="shared" ca="1" si="123"/>
        <v>45</v>
      </c>
      <c r="P667" s="1">
        <f t="shared" ca="1" si="124"/>
        <v>44676</v>
      </c>
      <c r="Q667" s="1">
        <f t="shared" ca="1" si="125"/>
        <v>44696</v>
      </c>
      <c r="R667">
        <f t="shared" ca="1" si="126"/>
        <v>65</v>
      </c>
      <c r="S667" t="str">
        <f t="shared" ca="1" si="127"/>
        <v>Late</v>
      </c>
      <c r="T667" t="str">
        <f t="shared" ca="1" si="128"/>
        <v>61-90</v>
      </c>
      <c r="U667">
        <f t="shared" ca="1" si="129"/>
        <v>20</v>
      </c>
      <c r="V667" t="str">
        <f t="shared" ca="1" si="130"/>
        <v>Inefficient</v>
      </c>
      <c r="W667">
        <f t="shared" si="131"/>
        <v>162014.78</v>
      </c>
    </row>
    <row r="668" spans="1:23" x14ac:dyDescent="0.35">
      <c r="A668" t="s">
        <v>693</v>
      </c>
      <c r="B668" t="s">
        <v>12</v>
      </c>
      <c r="C668" s="1">
        <v>44986</v>
      </c>
      <c r="D668" s="1">
        <v>44990</v>
      </c>
      <c r="E668" t="s">
        <v>26</v>
      </c>
      <c r="F668" t="s">
        <v>33</v>
      </c>
      <c r="G668">
        <v>818</v>
      </c>
      <c r="H668">
        <v>51.89</v>
      </c>
      <c r="I668">
        <v>47.85</v>
      </c>
      <c r="J668">
        <v>12</v>
      </c>
      <c r="K668">
        <f t="shared" si="120"/>
        <v>806</v>
      </c>
      <c r="L668" t="s">
        <v>15</v>
      </c>
      <c r="M668" s="1">
        <f t="shared" si="121"/>
        <v>44990</v>
      </c>
      <c r="N668" t="str">
        <f t="shared" ca="1" si="122"/>
        <v>Net 45</v>
      </c>
      <c r="O668">
        <f t="shared" ca="1" si="123"/>
        <v>45</v>
      </c>
      <c r="P668" s="1">
        <f t="shared" ca="1" si="124"/>
        <v>45035</v>
      </c>
      <c r="Q668" s="1">
        <f t="shared" ca="1" si="125"/>
        <v>45042</v>
      </c>
      <c r="R668">
        <f t="shared" ca="1" si="126"/>
        <v>52</v>
      </c>
      <c r="S668" t="str">
        <f t="shared" ca="1" si="127"/>
        <v>Late</v>
      </c>
      <c r="T668" t="str">
        <f t="shared" ca="1" si="128"/>
        <v>31-60</v>
      </c>
      <c r="U668">
        <f t="shared" ca="1" si="129"/>
        <v>7</v>
      </c>
      <c r="V668" t="str">
        <f t="shared" ca="1" si="130"/>
        <v>Inefficient</v>
      </c>
      <c r="W668">
        <f t="shared" si="131"/>
        <v>39141.300000000003</v>
      </c>
    </row>
    <row r="669" spans="1:23" x14ac:dyDescent="0.35">
      <c r="A669" t="s">
        <v>694</v>
      </c>
      <c r="B669" t="s">
        <v>23</v>
      </c>
      <c r="C669" s="1">
        <v>44979</v>
      </c>
      <c r="D669" s="1">
        <v>44990</v>
      </c>
      <c r="E669" t="s">
        <v>13</v>
      </c>
      <c r="F669" t="s">
        <v>18</v>
      </c>
      <c r="G669">
        <v>1065</v>
      </c>
      <c r="H669">
        <v>47.49</v>
      </c>
      <c r="I669">
        <v>41.42</v>
      </c>
      <c r="J669">
        <v>113</v>
      </c>
      <c r="K669">
        <f t="shared" si="120"/>
        <v>952</v>
      </c>
      <c r="L669" t="s">
        <v>15</v>
      </c>
      <c r="M669" s="1">
        <f t="shared" si="121"/>
        <v>44990</v>
      </c>
      <c r="N669" t="str">
        <f t="shared" ca="1" si="122"/>
        <v>Net 30</v>
      </c>
      <c r="O669">
        <f t="shared" ca="1" si="123"/>
        <v>30</v>
      </c>
      <c r="P669" s="1">
        <f t="shared" ca="1" si="124"/>
        <v>45020</v>
      </c>
      <c r="Q669" s="1">
        <f t="shared" ca="1" si="125"/>
        <v>45027</v>
      </c>
      <c r="R669">
        <f t="shared" ca="1" si="126"/>
        <v>37</v>
      </c>
      <c r="S669" t="str">
        <f t="shared" ca="1" si="127"/>
        <v>Late</v>
      </c>
      <c r="T669" t="str">
        <f t="shared" ca="1" si="128"/>
        <v>31-60</v>
      </c>
      <c r="U669">
        <f t="shared" ca="1" si="129"/>
        <v>7</v>
      </c>
      <c r="V669" t="str">
        <f t="shared" ca="1" si="130"/>
        <v>Inefficient</v>
      </c>
      <c r="W669">
        <f t="shared" si="131"/>
        <v>44112.3</v>
      </c>
    </row>
    <row r="670" spans="1:23" x14ac:dyDescent="0.35">
      <c r="A670" t="s">
        <v>695</v>
      </c>
      <c r="B670" t="s">
        <v>20</v>
      </c>
      <c r="C670" s="1">
        <v>44900</v>
      </c>
      <c r="D670" s="1">
        <v>44912</v>
      </c>
      <c r="E670" t="s">
        <v>24</v>
      </c>
      <c r="F670" t="s">
        <v>18</v>
      </c>
      <c r="G670">
        <v>1398</v>
      </c>
      <c r="H670">
        <v>75.08</v>
      </c>
      <c r="I670">
        <v>67.09</v>
      </c>
      <c r="J670">
        <v>57</v>
      </c>
      <c r="K670">
        <f t="shared" si="120"/>
        <v>1341</v>
      </c>
      <c r="L670" t="s">
        <v>15</v>
      </c>
      <c r="M670" s="1">
        <f t="shared" si="121"/>
        <v>44912</v>
      </c>
      <c r="N670" t="str">
        <f t="shared" ca="1" si="122"/>
        <v>Net 30</v>
      </c>
      <c r="O670">
        <f t="shared" ca="1" si="123"/>
        <v>30</v>
      </c>
      <c r="P670" s="1">
        <f t="shared" ca="1" si="124"/>
        <v>44942</v>
      </c>
      <c r="Q670" s="1">
        <f t="shared" ca="1" si="125"/>
        <v>44944</v>
      </c>
      <c r="R670">
        <f t="shared" ca="1" si="126"/>
        <v>32</v>
      </c>
      <c r="S670" t="str">
        <f t="shared" ca="1" si="127"/>
        <v>Late</v>
      </c>
      <c r="T670" t="str">
        <f t="shared" ca="1" si="128"/>
        <v>31-60</v>
      </c>
      <c r="U670">
        <f t="shared" ca="1" si="129"/>
        <v>2</v>
      </c>
      <c r="V670" t="str">
        <f t="shared" ca="1" si="130"/>
        <v>Inefficient</v>
      </c>
      <c r="W670">
        <f t="shared" si="131"/>
        <v>93791.82</v>
      </c>
    </row>
    <row r="671" spans="1:23" x14ac:dyDescent="0.35">
      <c r="A671" t="s">
        <v>696</v>
      </c>
      <c r="B671" t="s">
        <v>23</v>
      </c>
      <c r="C671" s="1">
        <v>45117</v>
      </c>
      <c r="D671" s="1">
        <v>45124</v>
      </c>
      <c r="E671" t="s">
        <v>24</v>
      </c>
      <c r="F671" t="s">
        <v>18</v>
      </c>
      <c r="G671">
        <v>565</v>
      </c>
      <c r="H671">
        <v>32.31</v>
      </c>
      <c r="I671">
        <v>29.76</v>
      </c>
      <c r="J671">
        <v>60</v>
      </c>
      <c r="K671">
        <f t="shared" si="120"/>
        <v>505</v>
      </c>
      <c r="L671" t="s">
        <v>15</v>
      </c>
      <c r="M671" s="1">
        <f t="shared" si="121"/>
        <v>45124</v>
      </c>
      <c r="N671" t="str">
        <f t="shared" ca="1" si="122"/>
        <v>Net 30</v>
      </c>
      <c r="O671">
        <f t="shared" ca="1" si="123"/>
        <v>30</v>
      </c>
      <c r="P671" s="1">
        <f t="shared" ca="1" si="124"/>
        <v>45154</v>
      </c>
      <c r="Q671" s="1">
        <f t="shared" ca="1" si="125"/>
        <v>45167</v>
      </c>
      <c r="R671">
        <f t="shared" ca="1" si="126"/>
        <v>43</v>
      </c>
      <c r="S671" t="str">
        <f t="shared" ca="1" si="127"/>
        <v>Late</v>
      </c>
      <c r="T671" t="str">
        <f t="shared" ca="1" si="128"/>
        <v>31-60</v>
      </c>
      <c r="U671">
        <f t="shared" ca="1" si="129"/>
        <v>13</v>
      </c>
      <c r="V671" t="str">
        <f t="shared" ca="1" si="130"/>
        <v>Inefficient</v>
      </c>
      <c r="W671">
        <f t="shared" si="131"/>
        <v>16814.400000000001</v>
      </c>
    </row>
    <row r="672" spans="1:23" x14ac:dyDescent="0.35">
      <c r="A672" t="s">
        <v>697</v>
      </c>
      <c r="B672" t="s">
        <v>29</v>
      </c>
      <c r="C672" s="1">
        <v>45039</v>
      </c>
      <c r="D672" s="1">
        <v>45052</v>
      </c>
      <c r="E672" t="s">
        <v>24</v>
      </c>
      <c r="F672" t="s">
        <v>35</v>
      </c>
      <c r="G672">
        <v>1089</v>
      </c>
      <c r="H672">
        <v>102.66</v>
      </c>
      <c r="I672">
        <v>89.21</v>
      </c>
      <c r="J672">
        <v>33</v>
      </c>
      <c r="K672">
        <f t="shared" si="120"/>
        <v>1056</v>
      </c>
      <c r="L672" t="s">
        <v>15</v>
      </c>
      <c r="M672" s="1">
        <f t="shared" si="121"/>
        <v>45052</v>
      </c>
      <c r="N672" t="str">
        <f t="shared" ca="1" si="122"/>
        <v>Net 30</v>
      </c>
      <c r="O672">
        <f t="shared" ca="1" si="123"/>
        <v>30</v>
      </c>
      <c r="P672" s="1">
        <f t="shared" ca="1" si="124"/>
        <v>45082</v>
      </c>
      <c r="Q672" s="1">
        <f t="shared" ca="1" si="125"/>
        <v>45087</v>
      </c>
      <c r="R672">
        <f t="shared" ca="1" si="126"/>
        <v>35</v>
      </c>
      <c r="S672" t="str">
        <f t="shared" ca="1" si="127"/>
        <v>Late</v>
      </c>
      <c r="T672" t="str">
        <f t="shared" ca="1" si="128"/>
        <v>31-60</v>
      </c>
      <c r="U672">
        <f t="shared" ca="1" si="129"/>
        <v>5</v>
      </c>
      <c r="V672" t="str">
        <f t="shared" ca="1" si="130"/>
        <v>Inefficient</v>
      </c>
      <c r="W672">
        <f t="shared" si="131"/>
        <v>97149.689999999988</v>
      </c>
    </row>
    <row r="673" spans="1:23" x14ac:dyDescent="0.35">
      <c r="A673" t="s">
        <v>698</v>
      </c>
      <c r="B673" t="s">
        <v>17</v>
      </c>
      <c r="C673" s="1">
        <v>44987</v>
      </c>
      <c r="D673" s="1">
        <v>44989</v>
      </c>
      <c r="E673" t="s">
        <v>39</v>
      </c>
      <c r="F673" t="s">
        <v>18</v>
      </c>
      <c r="G673">
        <v>841</v>
      </c>
      <c r="H673">
        <v>86.43</v>
      </c>
      <c r="I673">
        <v>83.77</v>
      </c>
      <c r="J673">
        <v>125</v>
      </c>
      <c r="K673">
        <f t="shared" si="120"/>
        <v>716</v>
      </c>
      <c r="L673" t="s">
        <v>27</v>
      </c>
      <c r="M673" s="1">
        <f t="shared" si="121"/>
        <v>44989</v>
      </c>
      <c r="N673" t="str">
        <f t="shared" ca="1" si="122"/>
        <v>Net 15</v>
      </c>
      <c r="O673">
        <f t="shared" ca="1" si="123"/>
        <v>15</v>
      </c>
      <c r="P673" s="1">
        <f t="shared" ca="1" si="124"/>
        <v>45004</v>
      </c>
      <c r="Q673" s="1">
        <f t="shared" ca="1" si="125"/>
        <v>45009</v>
      </c>
      <c r="R673">
        <f t="shared" ca="1" si="126"/>
        <v>20</v>
      </c>
      <c r="S673" t="str">
        <f t="shared" ca="1" si="127"/>
        <v>Late</v>
      </c>
      <c r="T673" t="str">
        <f t="shared" ca="1" si="128"/>
        <v>0-30</v>
      </c>
      <c r="U673">
        <f t="shared" ca="1" si="129"/>
        <v>5</v>
      </c>
      <c r="V673" t="str">
        <f t="shared" ca="1" si="130"/>
        <v>Inefficient</v>
      </c>
      <c r="W673">
        <f t="shared" si="131"/>
        <v>70450.569999999992</v>
      </c>
    </row>
    <row r="674" spans="1:23" x14ac:dyDescent="0.35">
      <c r="A674" t="s">
        <v>699</v>
      </c>
      <c r="B674" t="s">
        <v>17</v>
      </c>
      <c r="C674" s="1">
        <v>44625</v>
      </c>
      <c r="D674" s="1">
        <v>44636</v>
      </c>
      <c r="E674" t="s">
        <v>39</v>
      </c>
      <c r="F674" t="s">
        <v>18</v>
      </c>
      <c r="G674">
        <v>385</v>
      </c>
      <c r="H674">
        <v>18.23</v>
      </c>
      <c r="I674">
        <v>17.739999999999998</v>
      </c>
      <c r="K674">
        <f t="shared" si="120"/>
        <v>385</v>
      </c>
      <c r="L674" t="s">
        <v>15</v>
      </c>
      <c r="M674" s="1">
        <f t="shared" si="121"/>
        <v>44636</v>
      </c>
      <c r="N674" t="str">
        <f t="shared" ca="1" si="122"/>
        <v>Net 15</v>
      </c>
      <c r="O674">
        <f t="shared" ca="1" si="123"/>
        <v>15</v>
      </c>
      <c r="P674" s="1">
        <f t="shared" ca="1" si="124"/>
        <v>44651</v>
      </c>
      <c r="Q674" s="1">
        <f t="shared" ca="1" si="125"/>
        <v>44660</v>
      </c>
      <c r="R674">
        <f t="shared" ca="1" si="126"/>
        <v>24</v>
      </c>
      <c r="S674" t="str">
        <f t="shared" ca="1" si="127"/>
        <v>Late</v>
      </c>
      <c r="T674" t="str">
        <f t="shared" ca="1" si="128"/>
        <v>0-30</v>
      </c>
      <c r="U674">
        <f t="shared" ca="1" si="129"/>
        <v>9</v>
      </c>
      <c r="V674" t="str">
        <f t="shared" ca="1" si="130"/>
        <v>Inefficient</v>
      </c>
      <c r="W674">
        <f t="shared" si="131"/>
        <v>6829.9</v>
      </c>
    </row>
    <row r="675" spans="1:23" x14ac:dyDescent="0.35">
      <c r="A675" t="s">
        <v>700</v>
      </c>
      <c r="B675" t="s">
        <v>29</v>
      </c>
      <c r="C675" s="1">
        <v>44773</v>
      </c>
      <c r="D675" s="1">
        <v>44790</v>
      </c>
      <c r="E675" t="s">
        <v>13</v>
      </c>
      <c r="F675" t="s">
        <v>18</v>
      </c>
      <c r="G675">
        <v>1832</v>
      </c>
      <c r="H675">
        <v>49.01</v>
      </c>
      <c r="I675">
        <v>41.86</v>
      </c>
      <c r="J675">
        <v>52</v>
      </c>
      <c r="K675">
        <f t="shared" si="120"/>
        <v>1780</v>
      </c>
      <c r="L675" t="s">
        <v>15</v>
      </c>
      <c r="M675" s="1">
        <f t="shared" si="121"/>
        <v>44790</v>
      </c>
      <c r="N675" t="str">
        <f t="shared" ca="1" si="122"/>
        <v>Net 45</v>
      </c>
      <c r="O675">
        <f t="shared" ca="1" si="123"/>
        <v>45</v>
      </c>
      <c r="P675" s="1">
        <f t="shared" ca="1" si="124"/>
        <v>44835</v>
      </c>
      <c r="Q675" s="1">
        <f t="shared" ca="1" si="125"/>
        <v>44853</v>
      </c>
      <c r="R675">
        <f t="shared" ca="1" si="126"/>
        <v>63</v>
      </c>
      <c r="S675" t="str">
        <f t="shared" ca="1" si="127"/>
        <v>Late</v>
      </c>
      <c r="T675" t="str">
        <f t="shared" ca="1" si="128"/>
        <v>61-90</v>
      </c>
      <c r="U675">
        <f t="shared" ca="1" si="129"/>
        <v>18</v>
      </c>
      <c r="V675" t="str">
        <f t="shared" ca="1" si="130"/>
        <v>Inefficient</v>
      </c>
      <c r="W675">
        <f t="shared" si="131"/>
        <v>76687.520000000004</v>
      </c>
    </row>
    <row r="676" spans="1:23" x14ac:dyDescent="0.35">
      <c r="A676" t="s">
        <v>701</v>
      </c>
      <c r="B676" t="s">
        <v>23</v>
      </c>
      <c r="C676" s="1">
        <v>44992</v>
      </c>
      <c r="D676" s="1">
        <v>45012</v>
      </c>
      <c r="E676" t="s">
        <v>26</v>
      </c>
      <c r="F676" t="s">
        <v>18</v>
      </c>
      <c r="G676">
        <v>307</v>
      </c>
      <c r="H676">
        <v>95.36</v>
      </c>
      <c r="I676">
        <v>83.63</v>
      </c>
      <c r="J676">
        <v>29</v>
      </c>
      <c r="K676">
        <f t="shared" si="120"/>
        <v>278</v>
      </c>
      <c r="L676" t="s">
        <v>15</v>
      </c>
      <c r="M676" s="1">
        <f t="shared" si="121"/>
        <v>45012</v>
      </c>
      <c r="N676" t="str">
        <f t="shared" ca="1" si="122"/>
        <v>Net 30</v>
      </c>
      <c r="O676">
        <f t="shared" ca="1" si="123"/>
        <v>30</v>
      </c>
      <c r="P676" s="1">
        <f t="shared" ca="1" si="124"/>
        <v>45042</v>
      </c>
      <c r="Q676" s="1">
        <f t="shared" ca="1" si="125"/>
        <v>45039</v>
      </c>
      <c r="R676">
        <f t="shared" ca="1" si="126"/>
        <v>27</v>
      </c>
      <c r="S676" t="str">
        <f t="shared" ca="1" si="127"/>
        <v>On Time</v>
      </c>
      <c r="T676" t="str">
        <f t="shared" ca="1" si="128"/>
        <v>0-30</v>
      </c>
      <c r="U676">
        <f t="shared" ca="1" si="129"/>
        <v>0</v>
      </c>
      <c r="V676" t="str">
        <f t="shared" ca="1" si="130"/>
        <v>Efficient</v>
      </c>
      <c r="W676">
        <f t="shared" si="131"/>
        <v>25674.41</v>
      </c>
    </row>
    <row r="677" spans="1:23" x14ac:dyDescent="0.35">
      <c r="A677" t="s">
        <v>702</v>
      </c>
      <c r="B677" t="s">
        <v>29</v>
      </c>
      <c r="C677" s="1">
        <v>44960</v>
      </c>
      <c r="D677" s="1">
        <v>44965</v>
      </c>
      <c r="E677" t="s">
        <v>13</v>
      </c>
      <c r="F677" t="s">
        <v>18</v>
      </c>
      <c r="G677">
        <v>546</v>
      </c>
      <c r="H677">
        <v>101.2</v>
      </c>
      <c r="I677">
        <v>97.82</v>
      </c>
      <c r="J677">
        <v>21</v>
      </c>
      <c r="K677">
        <f t="shared" si="120"/>
        <v>525</v>
      </c>
      <c r="L677" t="s">
        <v>15</v>
      </c>
      <c r="M677" s="1">
        <f t="shared" si="121"/>
        <v>44965</v>
      </c>
      <c r="N677" t="str">
        <f t="shared" ca="1" si="122"/>
        <v>Net 30</v>
      </c>
      <c r="O677">
        <f t="shared" ca="1" si="123"/>
        <v>30</v>
      </c>
      <c r="P677" s="1">
        <f t="shared" ca="1" si="124"/>
        <v>44995</v>
      </c>
      <c r="Q677" s="1">
        <f t="shared" ca="1" si="125"/>
        <v>45013</v>
      </c>
      <c r="R677">
        <f t="shared" ca="1" si="126"/>
        <v>48</v>
      </c>
      <c r="S677" t="str">
        <f t="shared" ca="1" si="127"/>
        <v>Late</v>
      </c>
      <c r="T677" t="str">
        <f t="shared" ca="1" si="128"/>
        <v>31-60</v>
      </c>
      <c r="U677">
        <f t="shared" ca="1" si="129"/>
        <v>18</v>
      </c>
      <c r="V677" t="str">
        <f t="shared" ca="1" si="130"/>
        <v>Inefficient</v>
      </c>
      <c r="W677">
        <f t="shared" si="131"/>
        <v>53409.719999999994</v>
      </c>
    </row>
    <row r="678" spans="1:23" x14ac:dyDescent="0.35">
      <c r="A678" t="s">
        <v>703</v>
      </c>
      <c r="B678" t="s">
        <v>17</v>
      </c>
      <c r="C678" s="1">
        <v>45160</v>
      </c>
      <c r="D678" s="1">
        <v>45180</v>
      </c>
      <c r="E678" t="s">
        <v>26</v>
      </c>
      <c r="F678" t="s">
        <v>18</v>
      </c>
      <c r="G678">
        <v>945</v>
      </c>
      <c r="H678">
        <v>57.01</v>
      </c>
      <c r="I678">
        <v>55.14</v>
      </c>
      <c r="J678">
        <v>147</v>
      </c>
      <c r="K678">
        <f t="shared" si="120"/>
        <v>798</v>
      </c>
      <c r="L678" t="s">
        <v>27</v>
      </c>
      <c r="M678" s="1">
        <f t="shared" si="121"/>
        <v>45180</v>
      </c>
      <c r="N678" t="str">
        <f t="shared" ca="1" si="122"/>
        <v>Net 30</v>
      </c>
      <c r="O678">
        <f t="shared" ca="1" si="123"/>
        <v>30</v>
      </c>
      <c r="P678" s="1">
        <f t="shared" ca="1" si="124"/>
        <v>45210</v>
      </c>
      <c r="Q678" s="1">
        <f t="shared" ca="1" si="125"/>
        <v>45226</v>
      </c>
      <c r="R678">
        <f t="shared" ca="1" si="126"/>
        <v>46</v>
      </c>
      <c r="S678" t="str">
        <f t="shared" ca="1" si="127"/>
        <v>Late</v>
      </c>
      <c r="T678" t="str">
        <f t="shared" ca="1" si="128"/>
        <v>31-60</v>
      </c>
      <c r="U678">
        <f t="shared" ca="1" si="129"/>
        <v>16</v>
      </c>
      <c r="V678" t="str">
        <f t="shared" ca="1" si="130"/>
        <v>Inefficient</v>
      </c>
      <c r="W678">
        <f t="shared" si="131"/>
        <v>52107.3</v>
      </c>
    </row>
    <row r="679" spans="1:23" x14ac:dyDescent="0.35">
      <c r="A679" t="s">
        <v>704</v>
      </c>
      <c r="B679" t="s">
        <v>17</v>
      </c>
      <c r="C679" s="1">
        <v>45274</v>
      </c>
      <c r="D679" s="1">
        <v>45287</v>
      </c>
      <c r="E679" t="s">
        <v>21</v>
      </c>
      <c r="F679" t="s">
        <v>35</v>
      </c>
      <c r="G679">
        <v>209</v>
      </c>
      <c r="H679">
        <v>72.709999999999994</v>
      </c>
      <c r="I679">
        <v>64.34</v>
      </c>
      <c r="J679">
        <v>39</v>
      </c>
      <c r="K679">
        <f t="shared" si="120"/>
        <v>170</v>
      </c>
      <c r="L679" t="s">
        <v>15</v>
      </c>
      <c r="M679" s="1">
        <f t="shared" si="121"/>
        <v>45287</v>
      </c>
      <c r="N679" t="str">
        <f t="shared" ca="1" si="122"/>
        <v>Net 15</v>
      </c>
      <c r="O679">
        <f t="shared" ca="1" si="123"/>
        <v>15</v>
      </c>
      <c r="P679" s="1">
        <f t="shared" ca="1" si="124"/>
        <v>45302</v>
      </c>
      <c r="Q679" s="1">
        <f t="shared" ca="1" si="125"/>
        <v>45321</v>
      </c>
      <c r="R679">
        <f t="shared" ca="1" si="126"/>
        <v>34</v>
      </c>
      <c r="S679" t="str">
        <f t="shared" ca="1" si="127"/>
        <v>Late</v>
      </c>
      <c r="T679" t="str">
        <f t="shared" ca="1" si="128"/>
        <v>31-60</v>
      </c>
      <c r="U679">
        <f t="shared" ca="1" si="129"/>
        <v>19</v>
      </c>
      <c r="V679" t="str">
        <f t="shared" ca="1" si="130"/>
        <v>Inefficient</v>
      </c>
      <c r="W679">
        <f t="shared" si="131"/>
        <v>13447.060000000001</v>
      </c>
    </row>
    <row r="680" spans="1:23" x14ac:dyDescent="0.35">
      <c r="A680" t="s">
        <v>705</v>
      </c>
      <c r="B680" t="s">
        <v>23</v>
      </c>
      <c r="C680" s="1">
        <v>44582</v>
      </c>
      <c r="E680" t="s">
        <v>24</v>
      </c>
      <c r="F680" t="s">
        <v>18</v>
      </c>
      <c r="G680">
        <v>1548</v>
      </c>
      <c r="H680">
        <v>25.03</v>
      </c>
      <c r="I680">
        <v>22.87</v>
      </c>
      <c r="K680">
        <f t="shared" si="120"/>
        <v>1548</v>
      </c>
      <c r="L680" t="s">
        <v>15</v>
      </c>
      <c r="M680" s="1">
        <f t="shared" si="121"/>
        <v>0</v>
      </c>
      <c r="N680" t="str">
        <f t="shared" ca="1" si="122"/>
        <v>Net 30</v>
      </c>
      <c r="O680">
        <f t="shared" ca="1" si="123"/>
        <v>30</v>
      </c>
      <c r="P680" s="1">
        <f t="shared" ca="1" si="124"/>
        <v>30</v>
      </c>
      <c r="Q680" s="1">
        <f t="shared" ca="1" si="125"/>
        <v>44</v>
      </c>
      <c r="R680">
        <f t="shared" ca="1" si="126"/>
        <v>44</v>
      </c>
      <c r="S680" t="str">
        <f t="shared" ca="1" si="127"/>
        <v>Late</v>
      </c>
      <c r="T680" t="str">
        <f t="shared" ca="1" si="128"/>
        <v>31-60</v>
      </c>
      <c r="U680">
        <f t="shared" ca="1" si="129"/>
        <v>14</v>
      </c>
      <c r="V680" t="str">
        <f t="shared" ca="1" si="130"/>
        <v>Inefficient</v>
      </c>
      <c r="W680">
        <f t="shared" si="131"/>
        <v>35402.76</v>
      </c>
    </row>
    <row r="681" spans="1:23" x14ac:dyDescent="0.35">
      <c r="A681" t="s">
        <v>706</v>
      </c>
      <c r="B681" t="s">
        <v>17</v>
      </c>
      <c r="C681" s="1">
        <v>45151</v>
      </c>
      <c r="D681" s="1">
        <v>45161</v>
      </c>
      <c r="E681" t="s">
        <v>26</v>
      </c>
      <c r="F681" t="s">
        <v>18</v>
      </c>
      <c r="G681">
        <v>901</v>
      </c>
      <c r="H681">
        <v>108.63</v>
      </c>
      <c r="I681">
        <v>106.3</v>
      </c>
      <c r="J681">
        <v>141</v>
      </c>
      <c r="K681">
        <f t="shared" si="120"/>
        <v>760</v>
      </c>
      <c r="L681" t="s">
        <v>15</v>
      </c>
      <c r="M681" s="1">
        <f t="shared" si="121"/>
        <v>45161</v>
      </c>
      <c r="N681" t="str">
        <f t="shared" ca="1" si="122"/>
        <v>Net 45</v>
      </c>
      <c r="O681">
        <f t="shared" ca="1" si="123"/>
        <v>45</v>
      </c>
      <c r="P681" s="1">
        <f t="shared" ca="1" si="124"/>
        <v>45206</v>
      </c>
      <c r="Q681" s="1">
        <f t="shared" ca="1" si="125"/>
        <v>45219</v>
      </c>
      <c r="R681">
        <f t="shared" ca="1" si="126"/>
        <v>58</v>
      </c>
      <c r="S681" t="str">
        <f t="shared" ca="1" si="127"/>
        <v>Late</v>
      </c>
      <c r="T681" t="str">
        <f t="shared" ca="1" si="128"/>
        <v>31-60</v>
      </c>
      <c r="U681">
        <f t="shared" ca="1" si="129"/>
        <v>13</v>
      </c>
      <c r="V681" t="str">
        <f t="shared" ca="1" si="130"/>
        <v>Inefficient</v>
      </c>
      <c r="W681">
        <f t="shared" si="131"/>
        <v>95776.3</v>
      </c>
    </row>
    <row r="682" spans="1:23" x14ac:dyDescent="0.35">
      <c r="A682" t="s">
        <v>707</v>
      </c>
      <c r="B682" t="s">
        <v>29</v>
      </c>
      <c r="C682" s="1">
        <v>44951</v>
      </c>
      <c r="D682" s="1">
        <v>44968</v>
      </c>
      <c r="E682" t="s">
        <v>24</v>
      </c>
      <c r="F682" t="s">
        <v>18</v>
      </c>
      <c r="G682">
        <v>1737</v>
      </c>
      <c r="H682">
        <v>32.700000000000003</v>
      </c>
      <c r="I682">
        <v>31.02</v>
      </c>
      <c r="J682">
        <v>48</v>
      </c>
      <c r="K682">
        <f t="shared" si="120"/>
        <v>1689</v>
      </c>
      <c r="L682" t="s">
        <v>15</v>
      </c>
      <c r="M682" s="1">
        <f t="shared" si="121"/>
        <v>44968</v>
      </c>
      <c r="N682" t="str">
        <f t="shared" ca="1" si="122"/>
        <v>Net 15</v>
      </c>
      <c r="O682">
        <f t="shared" ca="1" si="123"/>
        <v>15</v>
      </c>
      <c r="P682" s="1">
        <f t="shared" ca="1" si="124"/>
        <v>44983</v>
      </c>
      <c r="Q682" s="1">
        <f t="shared" ca="1" si="125"/>
        <v>44995</v>
      </c>
      <c r="R682">
        <f t="shared" ca="1" si="126"/>
        <v>27</v>
      </c>
      <c r="S682" t="str">
        <f t="shared" ca="1" si="127"/>
        <v>Late</v>
      </c>
      <c r="T682" t="str">
        <f t="shared" ca="1" si="128"/>
        <v>0-30</v>
      </c>
      <c r="U682">
        <f t="shared" ca="1" si="129"/>
        <v>12</v>
      </c>
      <c r="V682" t="str">
        <f t="shared" ca="1" si="130"/>
        <v>Inefficient</v>
      </c>
      <c r="W682">
        <f t="shared" si="131"/>
        <v>53881.74</v>
      </c>
    </row>
    <row r="683" spans="1:23" x14ac:dyDescent="0.35">
      <c r="A683" t="s">
        <v>708</v>
      </c>
      <c r="B683" t="s">
        <v>23</v>
      </c>
      <c r="C683" s="1">
        <v>45050</v>
      </c>
      <c r="D683" s="1">
        <v>45068</v>
      </c>
      <c r="E683" t="s">
        <v>26</v>
      </c>
      <c r="F683" t="s">
        <v>18</v>
      </c>
      <c r="G683">
        <v>1981</v>
      </c>
      <c r="H683">
        <v>102.43</v>
      </c>
      <c r="I683">
        <v>90.99</v>
      </c>
      <c r="J683">
        <v>204</v>
      </c>
      <c r="K683">
        <f t="shared" si="120"/>
        <v>1777</v>
      </c>
      <c r="L683" t="s">
        <v>15</v>
      </c>
      <c r="M683" s="1">
        <f t="shared" si="121"/>
        <v>45068</v>
      </c>
      <c r="N683" t="str">
        <f t="shared" ca="1" si="122"/>
        <v>Net 30</v>
      </c>
      <c r="O683">
        <f t="shared" ca="1" si="123"/>
        <v>30</v>
      </c>
      <c r="P683" s="1">
        <f t="shared" ca="1" si="124"/>
        <v>45098</v>
      </c>
      <c r="Q683" s="1">
        <f t="shared" ca="1" si="125"/>
        <v>45100</v>
      </c>
      <c r="R683">
        <f t="shared" ca="1" si="126"/>
        <v>32</v>
      </c>
      <c r="S683" t="str">
        <f t="shared" ca="1" si="127"/>
        <v>Late</v>
      </c>
      <c r="T683" t="str">
        <f t="shared" ca="1" si="128"/>
        <v>31-60</v>
      </c>
      <c r="U683">
        <f t="shared" ca="1" si="129"/>
        <v>2</v>
      </c>
      <c r="V683" t="str">
        <f t="shared" ca="1" si="130"/>
        <v>Inefficient</v>
      </c>
      <c r="W683">
        <f t="shared" si="131"/>
        <v>180251.19</v>
      </c>
    </row>
    <row r="684" spans="1:23" x14ac:dyDescent="0.35">
      <c r="A684" t="s">
        <v>709</v>
      </c>
      <c r="B684" t="s">
        <v>29</v>
      </c>
      <c r="C684" s="1">
        <v>44568</v>
      </c>
      <c r="D684" s="1">
        <v>44587</v>
      </c>
      <c r="E684" t="s">
        <v>21</v>
      </c>
      <c r="F684" t="s">
        <v>35</v>
      </c>
      <c r="G684">
        <v>739</v>
      </c>
      <c r="H684">
        <v>68.47</v>
      </c>
      <c r="I684">
        <v>66.09</v>
      </c>
      <c r="J684">
        <v>19</v>
      </c>
      <c r="K684">
        <f t="shared" si="120"/>
        <v>720</v>
      </c>
      <c r="L684" t="s">
        <v>15</v>
      </c>
      <c r="M684" s="1">
        <f t="shared" si="121"/>
        <v>44587</v>
      </c>
      <c r="N684" t="str">
        <f t="shared" ca="1" si="122"/>
        <v>Net 15</v>
      </c>
      <c r="O684">
        <f t="shared" ca="1" si="123"/>
        <v>15</v>
      </c>
      <c r="P684" s="1">
        <f t="shared" ca="1" si="124"/>
        <v>44602</v>
      </c>
      <c r="Q684" s="1">
        <f t="shared" ca="1" si="125"/>
        <v>44616</v>
      </c>
      <c r="R684">
        <f t="shared" ca="1" si="126"/>
        <v>29</v>
      </c>
      <c r="S684" t="str">
        <f t="shared" ca="1" si="127"/>
        <v>Late</v>
      </c>
      <c r="T684" t="str">
        <f t="shared" ca="1" si="128"/>
        <v>0-30</v>
      </c>
      <c r="U684">
        <f t="shared" ca="1" si="129"/>
        <v>14</v>
      </c>
      <c r="V684" t="str">
        <f t="shared" ca="1" si="130"/>
        <v>Inefficient</v>
      </c>
      <c r="W684">
        <f t="shared" si="131"/>
        <v>48840.51</v>
      </c>
    </row>
    <row r="685" spans="1:23" x14ac:dyDescent="0.35">
      <c r="A685" t="s">
        <v>710</v>
      </c>
      <c r="B685" t="s">
        <v>23</v>
      </c>
      <c r="C685" s="1">
        <v>44922</v>
      </c>
      <c r="D685" s="1">
        <v>44923</v>
      </c>
      <c r="E685" t="s">
        <v>26</v>
      </c>
      <c r="F685" t="s">
        <v>18</v>
      </c>
      <c r="G685">
        <v>1748</v>
      </c>
      <c r="H685">
        <v>68.25</v>
      </c>
      <c r="I685">
        <v>62.84</v>
      </c>
      <c r="J685">
        <v>171</v>
      </c>
      <c r="K685">
        <f t="shared" si="120"/>
        <v>1577</v>
      </c>
      <c r="L685" t="s">
        <v>15</v>
      </c>
      <c r="M685" s="1">
        <f t="shared" si="121"/>
        <v>44923</v>
      </c>
      <c r="N685" t="str">
        <f t="shared" ca="1" si="122"/>
        <v>Net 15</v>
      </c>
      <c r="O685">
        <f t="shared" ca="1" si="123"/>
        <v>15</v>
      </c>
      <c r="P685" s="1">
        <f t="shared" ca="1" si="124"/>
        <v>44938</v>
      </c>
      <c r="Q685" s="1">
        <f t="shared" ca="1" si="125"/>
        <v>44952</v>
      </c>
      <c r="R685">
        <f t="shared" ca="1" si="126"/>
        <v>29</v>
      </c>
      <c r="S685" t="str">
        <f t="shared" ca="1" si="127"/>
        <v>Late</v>
      </c>
      <c r="T685" t="str">
        <f t="shared" ca="1" si="128"/>
        <v>0-30</v>
      </c>
      <c r="U685">
        <f t="shared" ca="1" si="129"/>
        <v>14</v>
      </c>
      <c r="V685" t="str">
        <f t="shared" ca="1" si="130"/>
        <v>Inefficient</v>
      </c>
      <c r="W685">
        <f t="shared" si="131"/>
        <v>109844.32</v>
      </c>
    </row>
    <row r="686" spans="1:23" x14ac:dyDescent="0.35">
      <c r="A686" t="s">
        <v>711</v>
      </c>
      <c r="B686" t="s">
        <v>17</v>
      </c>
      <c r="C686" s="1">
        <v>44867</v>
      </c>
      <c r="D686" s="1">
        <v>44871</v>
      </c>
      <c r="E686" t="s">
        <v>13</v>
      </c>
      <c r="F686" t="s">
        <v>14</v>
      </c>
      <c r="G686">
        <v>429</v>
      </c>
      <c r="H686">
        <v>58.95</v>
      </c>
      <c r="I686">
        <v>55.35</v>
      </c>
      <c r="J686">
        <v>59</v>
      </c>
      <c r="K686">
        <f t="shared" si="120"/>
        <v>370</v>
      </c>
      <c r="L686" t="s">
        <v>27</v>
      </c>
      <c r="M686" s="1">
        <f t="shared" si="121"/>
        <v>44871</v>
      </c>
      <c r="N686" t="str">
        <f t="shared" ca="1" si="122"/>
        <v>Net 15</v>
      </c>
      <c r="O686">
        <f t="shared" ca="1" si="123"/>
        <v>15</v>
      </c>
      <c r="P686" s="1">
        <f t="shared" ca="1" si="124"/>
        <v>44886</v>
      </c>
      <c r="Q686" s="1">
        <f t="shared" ca="1" si="125"/>
        <v>44901</v>
      </c>
      <c r="R686">
        <f t="shared" ca="1" si="126"/>
        <v>30</v>
      </c>
      <c r="S686" t="str">
        <f t="shared" ca="1" si="127"/>
        <v>Late</v>
      </c>
      <c r="T686" t="str">
        <f t="shared" ca="1" si="128"/>
        <v>0-30</v>
      </c>
      <c r="U686">
        <f t="shared" ca="1" si="129"/>
        <v>15</v>
      </c>
      <c r="V686" t="str">
        <f t="shared" ca="1" si="130"/>
        <v>Inefficient</v>
      </c>
      <c r="W686">
        <f t="shared" si="131"/>
        <v>23745.15</v>
      </c>
    </row>
    <row r="687" spans="1:23" x14ac:dyDescent="0.35">
      <c r="A687" t="s">
        <v>712</v>
      </c>
      <c r="B687" t="s">
        <v>20</v>
      </c>
      <c r="C687" s="1">
        <v>44961</v>
      </c>
      <c r="E687" t="s">
        <v>39</v>
      </c>
      <c r="F687" t="s">
        <v>18</v>
      </c>
      <c r="G687">
        <v>1618</v>
      </c>
      <c r="H687">
        <v>32.76</v>
      </c>
      <c r="I687">
        <v>28.41</v>
      </c>
      <c r="J687">
        <v>62</v>
      </c>
      <c r="K687">
        <f t="shared" si="120"/>
        <v>1556</v>
      </c>
      <c r="L687" t="s">
        <v>15</v>
      </c>
      <c r="M687" s="1">
        <f t="shared" si="121"/>
        <v>0</v>
      </c>
      <c r="N687" t="str">
        <f t="shared" ca="1" si="122"/>
        <v>Net 45</v>
      </c>
      <c r="O687">
        <f t="shared" ca="1" si="123"/>
        <v>45</v>
      </c>
      <c r="P687" s="1">
        <f t="shared" ca="1" si="124"/>
        <v>45</v>
      </c>
      <c r="Q687" s="1">
        <f t="shared" ca="1" si="125"/>
        <v>65</v>
      </c>
      <c r="R687">
        <f t="shared" ca="1" si="126"/>
        <v>65</v>
      </c>
      <c r="S687" t="str">
        <f t="shared" ca="1" si="127"/>
        <v>Late</v>
      </c>
      <c r="T687" t="str">
        <f t="shared" ca="1" si="128"/>
        <v>61-90</v>
      </c>
      <c r="U687">
        <f t="shared" ca="1" si="129"/>
        <v>20</v>
      </c>
      <c r="V687" t="str">
        <f t="shared" ca="1" si="130"/>
        <v>Inefficient</v>
      </c>
      <c r="W687">
        <f t="shared" si="131"/>
        <v>45967.38</v>
      </c>
    </row>
    <row r="688" spans="1:23" x14ac:dyDescent="0.35">
      <c r="A688" t="s">
        <v>713</v>
      </c>
      <c r="B688" t="s">
        <v>23</v>
      </c>
      <c r="C688" s="1">
        <v>44991</v>
      </c>
      <c r="D688" s="1">
        <v>44992</v>
      </c>
      <c r="E688" t="s">
        <v>24</v>
      </c>
      <c r="F688" t="s">
        <v>18</v>
      </c>
      <c r="G688">
        <v>1006</v>
      </c>
      <c r="H688">
        <v>27.7</v>
      </c>
      <c r="I688">
        <v>23.66</v>
      </c>
      <c r="J688">
        <v>101</v>
      </c>
      <c r="K688">
        <f t="shared" si="120"/>
        <v>905</v>
      </c>
      <c r="L688" t="s">
        <v>27</v>
      </c>
      <c r="M688" s="1">
        <f t="shared" si="121"/>
        <v>44992</v>
      </c>
      <c r="N688" t="str">
        <f t="shared" ca="1" si="122"/>
        <v>Net 45</v>
      </c>
      <c r="O688">
        <f t="shared" ca="1" si="123"/>
        <v>45</v>
      </c>
      <c r="P688" s="1">
        <f t="shared" ca="1" si="124"/>
        <v>45037</v>
      </c>
      <c r="Q688" s="1">
        <f t="shared" ca="1" si="125"/>
        <v>45048</v>
      </c>
      <c r="R688">
        <f t="shared" ca="1" si="126"/>
        <v>56</v>
      </c>
      <c r="S688" t="str">
        <f t="shared" ca="1" si="127"/>
        <v>Late</v>
      </c>
      <c r="T688" t="str">
        <f t="shared" ca="1" si="128"/>
        <v>31-60</v>
      </c>
      <c r="U688">
        <f t="shared" ca="1" si="129"/>
        <v>11</v>
      </c>
      <c r="V688" t="str">
        <f t="shared" ca="1" si="130"/>
        <v>Inefficient</v>
      </c>
      <c r="W688">
        <f t="shared" si="131"/>
        <v>23801.96</v>
      </c>
    </row>
    <row r="689" spans="1:23" x14ac:dyDescent="0.35">
      <c r="A689" t="s">
        <v>714</v>
      </c>
      <c r="B689" t="s">
        <v>23</v>
      </c>
      <c r="C689" s="1">
        <v>45113</v>
      </c>
      <c r="D689" s="1">
        <v>45122</v>
      </c>
      <c r="E689" t="s">
        <v>39</v>
      </c>
      <c r="F689" t="s">
        <v>33</v>
      </c>
      <c r="G689">
        <v>740</v>
      </c>
      <c r="H689">
        <v>32.53</v>
      </c>
      <c r="I689">
        <v>29.35</v>
      </c>
      <c r="J689">
        <v>84</v>
      </c>
      <c r="K689">
        <f t="shared" si="120"/>
        <v>656</v>
      </c>
      <c r="L689" t="s">
        <v>15</v>
      </c>
      <c r="M689" s="1">
        <f t="shared" si="121"/>
        <v>45122</v>
      </c>
      <c r="N689" t="str">
        <f t="shared" ca="1" si="122"/>
        <v>Net 30</v>
      </c>
      <c r="O689">
        <f t="shared" ca="1" si="123"/>
        <v>30</v>
      </c>
      <c r="P689" s="1">
        <f t="shared" ca="1" si="124"/>
        <v>45152</v>
      </c>
      <c r="Q689" s="1">
        <f t="shared" ca="1" si="125"/>
        <v>45157</v>
      </c>
      <c r="R689">
        <f t="shared" ca="1" si="126"/>
        <v>35</v>
      </c>
      <c r="S689" t="str">
        <f t="shared" ca="1" si="127"/>
        <v>Late</v>
      </c>
      <c r="T689" t="str">
        <f t="shared" ca="1" si="128"/>
        <v>31-60</v>
      </c>
      <c r="U689">
        <f t="shared" ca="1" si="129"/>
        <v>5</v>
      </c>
      <c r="V689" t="str">
        <f t="shared" ca="1" si="130"/>
        <v>Inefficient</v>
      </c>
      <c r="W689">
        <f t="shared" si="131"/>
        <v>21719</v>
      </c>
    </row>
    <row r="690" spans="1:23" x14ac:dyDescent="0.35">
      <c r="A690" t="s">
        <v>715</v>
      </c>
      <c r="B690" t="s">
        <v>20</v>
      </c>
      <c r="C690" s="1">
        <v>45121</v>
      </c>
      <c r="E690" t="s">
        <v>26</v>
      </c>
      <c r="F690" t="s">
        <v>18</v>
      </c>
      <c r="G690">
        <v>1500</v>
      </c>
      <c r="H690">
        <v>29.19</v>
      </c>
      <c r="I690">
        <v>27.24</v>
      </c>
      <c r="J690">
        <v>72</v>
      </c>
      <c r="K690">
        <f t="shared" si="120"/>
        <v>1428</v>
      </c>
      <c r="L690" t="s">
        <v>15</v>
      </c>
      <c r="M690" s="1">
        <f t="shared" si="121"/>
        <v>0</v>
      </c>
      <c r="N690" t="str">
        <f t="shared" ca="1" si="122"/>
        <v>Net 30</v>
      </c>
      <c r="O690">
        <f t="shared" ca="1" si="123"/>
        <v>30</v>
      </c>
      <c r="P690" s="1">
        <f t="shared" ca="1" si="124"/>
        <v>30</v>
      </c>
      <c r="Q690" s="1">
        <f t="shared" ca="1" si="125"/>
        <v>49</v>
      </c>
      <c r="R690">
        <f t="shared" ca="1" si="126"/>
        <v>49</v>
      </c>
      <c r="S690" t="str">
        <f t="shared" ca="1" si="127"/>
        <v>Late</v>
      </c>
      <c r="T690" t="str">
        <f t="shared" ca="1" si="128"/>
        <v>31-60</v>
      </c>
      <c r="U690">
        <f t="shared" ca="1" si="129"/>
        <v>19</v>
      </c>
      <c r="V690" t="str">
        <f t="shared" ca="1" si="130"/>
        <v>Inefficient</v>
      </c>
      <c r="W690">
        <f t="shared" si="131"/>
        <v>40860</v>
      </c>
    </row>
    <row r="691" spans="1:23" x14ac:dyDescent="0.35">
      <c r="A691" t="s">
        <v>716</v>
      </c>
      <c r="B691" t="s">
        <v>17</v>
      </c>
      <c r="C691" s="1">
        <v>45179</v>
      </c>
      <c r="D691" s="1">
        <v>45198</v>
      </c>
      <c r="E691" t="s">
        <v>13</v>
      </c>
      <c r="F691" t="s">
        <v>14</v>
      </c>
      <c r="G691">
        <v>1686</v>
      </c>
      <c r="H691">
        <v>88.18</v>
      </c>
      <c r="I691">
        <v>77.150000000000006</v>
      </c>
      <c r="K691">
        <f t="shared" si="120"/>
        <v>1686</v>
      </c>
      <c r="L691" t="s">
        <v>15</v>
      </c>
      <c r="M691" s="1">
        <f t="shared" si="121"/>
        <v>45198</v>
      </c>
      <c r="N691" t="str">
        <f t="shared" ca="1" si="122"/>
        <v>Net 30</v>
      </c>
      <c r="O691">
        <f t="shared" ca="1" si="123"/>
        <v>30</v>
      </c>
      <c r="P691" s="1">
        <f t="shared" ca="1" si="124"/>
        <v>45228</v>
      </c>
      <c r="Q691" s="1">
        <f t="shared" ca="1" si="125"/>
        <v>45223</v>
      </c>
      <c r="R691">
        <f t="shared" ca="1" si="126"/>
        <v>25</v>
      </c>
      <c r="S691" t="str">
        <f t="shared" ca="1" si="127"/>
        <v>On Time</v>
      </c>
      <c r="T691" t="str">
        <f t="shared" ca="1" si="128"/>
        <v>0-30</v>
      </c>
      <c r="U691">
        <f t="shared" ca="1" si="129"/>
        <v>0</v>
      </c>
      <c r="V691" t="str">
        <f t="shared" ca="1" si="130"/>
        <v>Efficient</v>
      </c>
      <c r="W691">
        <f t="shared" si="131"/>
        <v>130074.90000000001</v>
      </c>
    </row>
    <row r="692" spans="1:23" x14ac:dyDescent="0.35">
      <c r="A692" t="s">
        <v>717</v>
      </c>
      <c r="B692" t="s">
        <v>29</v>
      </c>
      <c r="C692" s="1">
        <v>44787</v>
      </c>
      <c r="D692" s="1">
        <v>44789</v>
      </c>
      <c r="E692" t="s">
        <v>26</v>
      </c>
      <c r="F692" t="s">
        <v>14</v>
      </c>
      <c r="G692">
        <v>1341</v>
      </c>
      <c r="H692">
        <v>42.96</v>
      </c>
      <c r="I692">
        <v>41.75</v>
      </c>
      <c r="J692">
        <v>39</v>
      </c>
      <c r="K692">
        <f t="shared" si="120"/>
        <v>1302</v>
      </c>
      <c r="L692" t="s">
        <v>15</v>
      </c>
      <c r="M692" s="1">
        <f t="shared" si="121"/>
        <v>44789</v>
      </c>
      <c r="N692" t="str">
        <f t="shared" ca="1" si="122"/>
        <v>Net 30</v>
      </c>
      <c r="O692">
        <f t="shared" ca="1" si="123"/>
        <v>30</v>
      </c>
      <c r="P692" s="1">
        <f t="shared" ca="1" si="124"/>
        <v>44819</v>
      </c>
      <c r="Q692" s="1">
        <f t="shared" ca="1" si="125"/>
        <v>44831</v>
      </c>
      <c r="R692">
        <f t="shared" ca="1" si="126"/>
        <v>42</v>
      </c>
      <c r="S692" t="str">
        <f t="shared" ca="1" si="127"/>
        <v>Late</v>
      </c>
      <c r="T692" t="str">
        <f t="shared" ca="1" si="128"/>
        <v>31-60</v>
      </c>
      <c r="U692">
        <f t="shared" ca="1" si="129"/>
        <v>12</v>
      </c>
      <c r="V692" t="str">
        <f t="shared" ca="1" si="130"/>
        <v>Inefficient</v>
      </c>
      <c r="W692">
        <f t="shared" si="131"/>
        <v>55986.75</v>
      </c>
    </row>
    <row r="693" spans="1:23" x14ac:dyDescent="0.35">
      <c r="A693" t="s">
        <v>718</v>
      </c>
      <c r="B693" t="s">
        <v>12</v>
      </c>
      <c r="C693" s="1">
        <v>45061</v>
      </c>
      <c r="D693" s="1">
        <v>45067</v>
      </c>
      <c r="E693" t="s">
        <v>21</v>
      </c>
      <c r="F693" t="s">
        <v>14</v>
      </c>
      <c r="G693">
        <v>1908</v>
      </c>
      <c r="H693">
        <v>16.420000000000002</v>
      </c>
      <c r="I693">
        <v>15.31</v>
      </c>
      <c r="J693">
        <v>36</v>
      </c>
      <c r="K693">
        <f t="shared" si="120"/>
        <v>1872</v>
      </c>
      <c r="L693" t="s">
        <v>15</v>
      </c>
      <c r="M693" s="1">
        <f t="shared" si="121"/>
        <v>45067</v>
      </c>
      <c r="N693" t="str">
        <f t="shared" ca="1" si="122"/>
        <v>Net 15</v>
      </c>
      <c r="O693">
        <f t="shared" ca="1" si="123"/>
        <v>15</v>
      </c>
      <c r="P693" s="1">
        <f t="shared" ca="1" si="124"/>
        <v>45082</v>
      </c>
      <c r="Q693" s="1">
        <f t="shared" ca="1" si="125"/>
        <v>45089</v>
      </c>
      <c r="R693">
        <f t="shared" ca="1" si="126"/>
        <v>22</v>
      </c>
      <c r="S693" t="str">
        <f t="shared" ca="1" si="127"/>
        <v>Late</v>
      </c>
      <c r="T693" t="str">
        <f t="shared" ca="1" si="128"/>
        <v>0-30</v>
      </c>
      <c r="U693">
        <f t="shared" ca="1" si="129"/>
        <v>7</v>
      </c>
      <c r="V693" t="str">
        <f t="shared" ca="1" si="130"/>
        <v>Inefficient</v>
      </c>
      <c r="W693">
        <f t="shared" si="131"/>
        <v>29211.48</v>
      </c>
    </row>
    <row r="694" spans="1:23" x14ac:dyDescent="0.35">
      <c r="A694" t="s">
        <v>719</v>
      </c>
      <c r="B694" t="s">
        <v>20</v>
      </c>
      <c r="C694" s="1">
        <v>44786</v>
      </c>
      <c r="D694" s="1">
        <v>44806</v>
      </c>
      <c r="E694" t="s">
        <v>21</v>
      </c>
      <c r="F694" t="s">
        <v>33</v>
      </c>
      <c r="G694">
        <v>1650</v>
      </c>
      <c r="H694">
        <v>100.62</v>
      </c>
      <c r="I694">
        <v>90.45</v>
      </c>
      <c r="J694">
        <v>85</v>
      </c>
      <c r="K694">
        <f t="shared" si="120"/>
        <v>1565</v>
      </c>
      <c r="L694" t="s">
        <v>15</v>
      </c>
      <c r="M694" s="1">
        <f t="shared" si="121"/>
        <v>44806</v>
      </c>
      <c r="N694" t="str">
        <f t="shared" ca="1" si="122"/>
        <v>Net 45</v>
      </c>
      <c r="O694">
        <f t="shared" ca="1" si="123"/>
        <v>45</v>
      </c>
      <c r="P694" s="1">
        <f t="shared" ca="1" si="124"/>
        <v>44851</v>
      </c>
      <c r="Q694" s="1">
        <f t="shared" ca="1" si="125"/>
        <v>44852</v>
      </c>
      <c r="R694">
        <f t="shared" ca="1" si="126"/>
        <v>46</v>
      </c>
      <c r="S694" t="str">
        <f t="shared" ca="1" si="127"/>
        <v>Late</v>
      </c>
      <c r="T694" t="str">
        <f t="shared" ca="1" si="128"/>
        <v>31-60</v>
      </c>
      <c r="U694">
        <f t="shared" ca="1" si="129"/>
        <v>1</v>
      </c>
      <c r="V694" t="str">
        <f t="shared" ca="1" si="130"/>
        <v>Inefficient</v>
      </c>
      <c r="W694">
        <f t="shared" si="131"/>
        <v>149242.5</v>
      </c>
    </row>
    <row r="695" spans="1:23" x14ac:dyDescent="0.35">
      <c r="A695" t="s">
        <v>720</v>
      </c>
      <c r="B695" t="s">
        <v>12</v>
      </c>
      <c r="C695" s="1">
        <v>44841</v>
      </c>
      <c r="D695" s="1">
        <v>44854</v>
      </c>
      <c r="E695" t="s">
        <v>21</v>
      </c>
      <c r="F695" t="s">
        <v>18</v>
      </c>
      <c r="G695">
        <v>1490</v>
      </c>
      <c r="H695">
        <v>93.57</v>
      </c>
      <c r="I695">
        <v>81.680000000000007</v>
      </c>
      <c r="J695">
        <v>29</v>
      </c>
      <c r="K695">
        <f t="shared" si="120"/>
        <v>1461</v>
      </c>
      <c r="L695" t="s">
        <v>15</v>
      </c>
      <c r="M695" s="1">
        <f t="shared" si="121"/>
        <v>44854</v>
      </c>
      <c r="N695" t="str">
        <f t="shared" ca="1" si="122"/>
        <v>Net 30</v>
      </c>
      <c r="O695">
        <f t="shared" ca="1" si="123"/>
        <v>30</v>
      </c>
      <c r="P695" s="1">
        <f t="shared" ca="1" si="124"/>
        <v>44884</v>
      </c>
      <c r="Q695" s="1">
        <f t="shared" ca="1" si="125"/>
        <v>44880</v>
      </c>
      <c r="R695">
        <f t="shared" ca="1" si="126"/>
        <v>26</v>
      </c>
      <c r="S695" t="str">
        <f t="shared" ca="1" si="127"/>
        <v>On Time</v>
      </c>
      <c r="T695" t="str">
        <f t="shared" ca="1" si="128"/>
        <v>0-30</v>
      </c>
      <c r="U695">
        <f t="shared" ca="1" si="129"/>
        <v>0</v>
      </c>
      <c r="V695" t="str">
        <f t="shared" ca="1" si="130"/>
        <v>Efficient</v>
      </c>
      <c r="W695">
        <f t="shared" si="131"/>
        <v>121703.20000000001</v>
      </c>
    </row>
    <row r="696" spans="1:23" x14ac:dyDescent="0.35">
      <c r="A696" t="s">
        <v>721</v>
      </c>
      <c r="B696" t="s">
        <v>17</v>
      </c>
      <c r="C696" s="1">
        <v>45008</v>
      </c>
      <c r="D696" s="1">
        <v>45016</v>
      </c>
      <c r="E696" t="s">
        <v>26</v>
      </c>
      <c r="F696" t="s">
        <v>18</v>
      </c>
      <c r="G696">
        <v>1241</v>
      </c>
      <c r="H696">
        <v>100.04</v>
      </c>
      <c r="I696">
        <v>97.56</v>
      </c>
      <c r="J696">
        <v>187</v>
      </c>
      <c r="K696">
        <f t="shared" si="120"/>
        <v>1054</v>
      </c>
      <c r="L696" t="s">
        <v>15</v>
      </c>
      <c r="M696" s="1">
        <f t="shared" si="121"/>
        <v>45016</v>
      </c>
      <c r="N696" t="str">
        <f t="shared" ca="1" si="122"/>
        <v>Net 30</v>
      </c>
      <c r="O696">
        <f t="shared" ca="1" si="123"/>
        <v>30</v>
      </c>
      <c r="P696" s="1">
        <f t="shared" ca="1" si="124"/>
        <v>45046</v>
      </c>
      <c r="Q696" s="1">
        <f t="shared" ca="1" si="125"/>
        <v>45043</v>
      </c>
      <c r="R696">
        <f t="shared" ca="1" si="126"/>
        <v>27</v>
      </c>
      <c r="S696" t="str">
        <f t="shared" ca="1" si="127"/>
        <v>On Time</v>
      </c>
      <c r="T696" t="str">
        <f t="shared" ca="1" si="128"/>
        <v>0-30</v>
      </c>
      <c r="U696">
        <f t="shared" ca="1" si="129"/>
        <v>0</v>
      </c>
      <c r="V696" t="str">
        <f t="shared" ca="1" si="130"/>
        <v>Efficient</v>
      </c>
      <c r="W696">
        <f t="shared" si="131"/>
        <v>121071.96</v>
      </c>
    </row>
    <row r="697" spans="1:23" x14ac:dyDescent="0.35">
      <c r="A697" t="s">
        <v>722</v>
      </c>
      <c r="B697" t="s">
        <v>23</v>
      </c>
      <c r="C697" s="1">
        <v>45059</v>
      </c>
      <c r="D697" s="1">
        <v>45063</v>
      </c>
      <c r="E697" t="s">
        <v>21</v>
      </c>
      <c r="F697" t="s">
        <v>18</v>
      </c>
      <c r="G697">
        <v>1915</v>
      </c>
      <c r="H697">
        <v>107.51</v>
      </c>
      <c r="I697">
        <v>102.66</v>
      </c>
      <c r="J697">
        <v>184</v>
      </c>
      <c r="K697">
        <f t="shared" si="120"/>
        <v>1731</v>
      </c>
      <c r="L697" t="s">
        <v>15</v>
      </c>
      <c r="M697" s="1">
        <f t="shared" si="121"/>
        <v>45063</v>
      </c>
      <c r="N697" t="str">
        <f t="shared" ca="1" si="122"/>
        <v>Net 45</v>
      </c>
      <c r="O697">
        <f t="shared" ca="1" si="123"/>
        <v>45</v>
      </c>
      <c r="P697" s="1">
        <f t="shared" ca="1" si="124"/>
        <v>45108</v>
      </c>
      <c r="Q697" s="1">
        <f t="shared" ca="1" si="125"/>
        <v>45115</v>
      </c>
      <c r="R697">
        <f t="shared" ca="1" si="126"/>
        <v>52</v>
      </c>
      <c r="S697" t="str">
        <f t="shared" ca="1" si="127"/>
        <v>Late</v>
      </c>
      <c r="T697" t="str">
        <f t="shared" ca="1" si="128"/>
        <v>31-60</v>
      </c>
      <c r="U697">
        <f t="shared" ca="1" si="129"/>
        <v>7</v>
      </c>
      <c r="V697" t="str">
        <f t="shared" ca="1" si="130"/>
        <v>Inefficient</v>
      </c>
      <c r="W697">
        <f t="shared" si="131"/>
        <v>196593.9</v>
      </c>
    </row>
    <row r="698" spans="1:23" x14ac:dyDescent="0.35">
      <c r="A698" t="s">
        <v>723</v>
      </c>
      <c r="B698" t="s">
        <v>23</v>
      </c>
      <c r="C698" s="1">
        <v>44591</v>
      </c>
      <c r="D698" s="1">
        <v>44606</v>
      </c>
      <c r="E698" t="s">
        <v>26</v>
      </c>
      <c r="F698" t="s">
        <v>18</v>
      </c>
      <c r="G698">
        <v>1116</v>
      </c>
      <c r="H698">
        <v>25.65</v>
      </c>
      <c r="I698">
        <v>24.28</v>
      </c>
      <c r="J698">
        <v>121</v>
      </c>
      <c r="K698">
        <f t="shared" si="120"/>
        <v>995</v>
      </c>
      <c r="L698" t="s">
        <v>15</v>
      </c>
      <c r="M698" s="1">
        <f t="shared" si="121"/>
        <v>44606</v>
      </c>
      <c r="N698" t="str">
        <f t="shared" ca="1" si="122"/>
        <v>Net 15</v>
      </c>
      <c r="O698">
        <f t="shared" ca="1" si="123"/>
        <v>15</v>
      </c>
      <c r="P698" s="1">
        <f t="shared" ca="1" si="124"/>
        <v>44621</v>
      </c>
      <c r="Q698" s="1">
        <f t="shared" ca="1" si="125"/>
        <v>44641</v>
      </c>
      <c r="R698">
        <f t="shared" ca="1" si="126"/>
        <v>35</v>
      </c>
      <c r="S698" t="str">
        <f t="shared" ca="1" si="127"/>
        <v>Late</v>
      </c>
      <c r="T698" t="str">
        <f t="shared" ca="1" si="128"/>
        <v>31-60</v>
      </c>
      <c r="U698">
        <f t="shared" ca="1" si="129"/>
        <v>20</v>
      </c>
      <c r="V698" t="str">
        <f t="shared" ca="1" si="130"/>
        <v>Inefficient</v>
      </c>
      <c r="W698">
        <f t="shared" si="131"/>
        <v>27096.48</v>
      </c>
    </row>
    <row r="699" spans="1:23" x14ac:dyDescent="0.35">
      <c r="A699" t="s">
        <v>724</v>
      </c>
      <c r="B699" t="s">
        <v>17</v>
      </c>
      <c r="C699" s="1">
        <v>44960</v>
      </c>
      <c r="D699" s="1">
        <v>44965</v>
      </c>
      <c r="E699" t="s">
        <v>26</v>
      </c>
      <c r="F699" t="s">
        <v>18</v>
      </c>
      <c r="G699">
        <v>1629</v>
      </c>
      <c r="H699">
        <v>48.63</v>
      </c>
      <c r="I699">
        <v>43.28</v>
      </c>
      <c r="J699">
        <v>260</v>
      </c>
      <c r="K699">
        <f t="shared" si="120"/>
        <v>1369</v>
      </c>
      <c r="L699" t="s">
        <v>15</v>
      </c>
      <c r="M699" s="1">
        <f t="shared" si="121"/>
        <v>44965</v>
      </c>
      <c r="N699" t="str">
        <f t="shared" ca="1" si="122"/>
        <v>Net 30</v>
      </c>
      <c r="O699">
        <f t="shared" ca="1" si="123"/>
        <v>30</v>
      </c>
      <c r="P699" s="1">
        <f t="shared" ca="1" si="124"/>
        <v>44995</v>
      </c>
      <c r="Q699" s="1">
        <f t="shared" ca="1" si="125"/>
        <v>44999</v>
      </c>
      <c r="R699">
        <f t="shared" ca="1" si="126"/>
        <v>34</v>
      </c>
      <c r="S699" t="str">
        <f t="shared" ca="1" si="127"/>
        <v>Late</v>
      </c>
      <c r="T699" t="str">
        <f t="shared" ca="1" si="128"/>
        <v>31-60</v>
      </c>
      <c r="U699">
        <f t="shared" ca="1" si="129"/>
        <v>4</v>
      </c>
      <c r="V699" t="str">
        <f t="shared" ca="1" si="130"/>
        <v>Inefficient</v>
      </c>
      <c r="W699">
        <f t="shared" si="131"/>
        <v>70503.12</v>
      </c>
    </row>
    <row r="700" spans="1:23" x14ac:dyDescent="0.35">
      <c r="A700" t="s">
        <v>725</v>
      </c>
      <c r="B700" t="s">
        <v>29</v>
      </c>
      <c r="C700" s="1">
        <v>44906</v>
      </c>
      <c r="D700" s="1">
        <v>44913</v>
      </c>
      <c r="E700" t="s">
        <v>13</v>
      </c>
      <c r="F700" t="s">
        <v>18</v>
      </c>
      <c r="G700">
        <v>334</v>
      </c>
      <c r="H700">
        <v>82.54</v>
      </c>
      <c r="I700">
        <v>74.63</v>
      </c>
      <c r="K700">
        <f t="shared" si="120"/>
        <v>334</v>
      </c>
      <c r="L700" t="s">
        <v>15</v>
      </c>
      <c r="M700" s="1">
        <f t="shared" si="121"/>
        <v>44913</v>
      </c>
      <c r="N700" t="str">
        <f t="shared" ca="1" si="122"/>
        <v>Net 45</v>
      </c>
      <c r="O700">
        <f t="shared" ca="1" si="123"/>
        <v>45</v>
      </c>
      <c r="P700" s="1">
        <f t="shared" ca="1" si="124"/>
        <v>44958</v>
      </c>
      <c r="Q700" s="1">
        <f t="shared" ca="1" si="125"/>
        <v>44962</v>
      </c>
      <c r="R700">
        <f t="shared" ca="1" si="126"/>
        <v>49</v>
      </c>
      <c r="S700" t="str">
        <f t="shared" ca="1" si="127"/>
        <v>Late</v>
      </c>
      <c r="T700" t="str">
        <f t="shared" ca="1" si="128"/>
        <v>31-60</v>
      </c>
      <c r="U700">
        <f t="shared" ca="1" si="129"/>
        <v>4</v>
      </c>
      <c r="V700" t="str">
        <f t="shared" ca="1" si="130"/>
        <v>Inefficient</v>
      </c>
      <c r="W700">
        <f t="shared" si="131"/>
        <v>24926.42</v>
      </c>
    </row>
    <row r="701" spans="1:23" x14ac:dyDescent="0.35">
      <c r="A701" t="s">
        <v>726</v>
      </c>
      <c r="B701" t="s">
        <v>29</v>
      </c>
      <c r="C701" s="1">
        <v>45246</v>
      </c>
      <c r="D701" s="1">
        <v>45266</v>
      </c>
      <c r="E701" t="s">
        <v>24</v>
      </c>
      <c r="F701" t="s">
        <v>18</v>
      </c>
      <c r="G701">
        <v>446</v>
      </c>
      <c r="H701">
        <v>80.63</v>
      </c>
      <c r="I701">
        <v>70.37</v>
      </c>
      <c r="K701">
        <f t="shared" si="120"/>
        <v>446</v>
      </c>
      <c r="L701" t="s">
        <v>15</v>
      </c>
      <c r="M701" s="1">
        <f t="shared" si="121"/>
        <v>45266</v>
      </c>
      <c r="N701" t="str">
        <f t="shared" ca="1" si="122"/>
        <v>Net 15</v>
      </c>
      <c r="O701">
        <f t="shared" ca="1" si="123"/>
        <v>15</v>
      </c>
      <c r="P701" s="1">
        <f t="shared" ca="1" si="124"/>
        <v>45281</v>
      </c>
      <c r="Q701" s="1">
        <f t="shared" ca="1" si="125"/>
        <v>45289</v>
      </c>
      <c r="R701">
        <f t="shared" ca="1" si="126"/>
        <v>23</v>
      </c>
      <c r="S701" t="str">
        <f t="shared" ca="1" si="127"/>
        <v>Late</v>
      </c>
      <c r="T701" t="str">
        <f t="shared" ca="1" si="128"/>
        <v>0-30</v>
      </c>
      <c r="U701">
        <f t="shared" ca="1" si="129"/>
        <v>8</v>
      </c>
      <c r="V701" t="str">
        <f t="shared" ca="1" si="130"/>
        <v>Inefficient</v>
      </c>
      <c r="W701">
        <f t="shared" si="131"/>
        <v>31385.02</v>
      </c>
    </row>
    <row r="702" spans="1:23" x14ac:dyDescent="0.35">
      <c r="A702" t="s">
        <v>727</v>
      </c>
      <c r="B702" t="s">
        <v>17</v>
      </c>
      <c r="C702" s="1">
        <v>45257</v>
      </c>
      <c r="E702" t="s">
        <v>39</v>
      </c>
      <c r="F702" t="s">
        <v>18</v>
      </c>
      <c r="G702">
        <v>61</v>
      </c>
      <c r="H702">
        <v>26.47</v>
      </c>
      <c r="I702">
        <v>24.62</v>
      </c>
      <c r="J702">
        <v>6</v>
      </c>
      <c r="K702">
        <f t="shared" si="120"/>
        <v>55</v>
      </c>
      <c r="L702" t="s">
        <v>15</v>
      </c>
      <c r="M702" s="1">
        <f t="shared" si="121"/>
        <v>0</v>
      </c>
      <c r="N702" t="str">
        <f t="shared" ca="1" si="122"/>
        <v>Net 30</v>
      </c>
      <c r="O702">
        <f t="shared" ca="1" si="123"/>
        <v>30</v>
      </c>
      <c r="P702" s="1">
        <f t="shared" ca="1" si="124"/>
        <v>30</v>
      </c>
      <c r="Q702" s="1">
        <f t="shared" ca="1" si="125"/>
        <v>44</v>
      </c>
      <c r="R702">
        <f t="shared" ca="1" si="126"/>
        <v>44</v>
      </c>
      <c r="S702" t="str">
        <f t="shared" ca="1" si="127"/>
        <v>Late</v>
      </c>
      <c r="T702" t="str">
        <f t="shared" ca="1" si="128"/>
        <v>31-60</v>
      </c>
      <c r="U702">
        <f t="shared" ca="1" si="129"/>
        <v>14</v>
      </c>
      <c r="V702" t="str">
        <f t="shared" ca="1" si="130"/>
        <v>Inefficient</v>
      </c>
      <c r="W702">
        <f t="shared" si="131"/>
        <v>1501.8200000000002</v>
      </c>
    </row>
    <row r="703" spans="1:23" x14ac:dyDescent="0.35">
      <c r="A703" t="s">
        <v>728</v>
      </c>
      <c r="B703" t="s">
        <v>17</v>
      </c>
      <c r="C703" s="1">
        <v>44976</v>
      </c>
      <c r="D703" s="1">
        <v>44978</v>
      </c>
      <c r="E703" t="s">
        <v>24</v>
      </c>
      <c r="F703" t="s">
        <v>18</v>
      </c>
      <c r="G703">
        <v>1680</v>
      </c>
      <c r="H703">
        <v>88.85</v>
      </c>
      <c r="I703">
        <v>87.53</v>
      </c>
      <c r="K703">
        <f t="shared" si="120"/>
        <v>1680</v>
      </c>
      <c r="L703" t="s">
        <v>15</v>
      </c>
      <c r="M703" s="1">
        <f t="shared" si="121"/>
        <v>44978</v>
      </c>
      <c r="N703" t="str">
        <f t="shared" ca="1" si="122"/>
        <v>Net 45</v>
      </c>
      <c r="O703">
        <f t="shared" ca="1" si="123"/>
        <v>45</v>
      </c>
      <c r="P703" s="1">
        <f t="shared" ca="1" si="124"/>
        <v>45023</v>
      </c>
      <c r="Q703" s="1">
        <f t="shared" ca="1" si="125"/>
        <v>45040</v>
      </c>
      <c r="R703">
        <f t="shared" ca="1" si="126"/>
        <v>62</v>
      </c>
      <c r="S703" t="str">
        <f t="shared" ca="1" si="127"/>
        <v>Late</v>
      </c>
      <c r="T703" t="str">
        <f t="shared" ca="1" si="128"/>
        <v>61-90</v>
      </c>
      <c r="U703">
        <f t="shared" ca="1" si="129"/>
        <v>17</v>
      </c>
      <c r="V703" t="str">
        <f t="shared" ca="1" si="130"/>
        <v>Inefficient</v>
      </c>
      <c r="W703">
        <f t="shared" si="131"/>
        <v>147050.4</v>
      </c>
    </row>
    <row r="704" spans="1:23" x14ac:dyDescent="0.35">
      <c r="A704" t="s">
        <v>729</v>
      </c>
      <c r="B704" t="s">
        <v>17</v>
      </c>
      <c r="C704" s="1">
        <v>44731</v>
      </c>
      <c r="D704" s="1">
        <v>44748</v>
      </c>
      <c r="E704" t="s">
        <v>39</v>
      </c>
      <c r="F704" t="s">
        <v>18</v>
      </c>
      <c r="G704">
        <v>1375</v>
      </c>
      <c r="H704">
        <v>30.95</v>
      </c>
      <c r="I704">
        <v>30.02</v>
      </c>
      <c r="J704">
        <v>223</v>
      </c>
      <c r="K704">
        <f t="shared" si="120"/>
        <v>1152</v>
      </c>
      <c r="L704" t="s">
        <v>15</v>
      </c>
      <c r="M704" s="1">
        <f t="shared" si="121"/>
        <v>44748</v>
      </c>
      <c r="N704" t="str">
        <f t="shared" ca="1" si="122"/>
        <v>Net 30</v>
      </c>
      <c r="O704">
        <f t="shared" ca="1" si="123"/>
        <v>30</v>
      </c>
      <c r="P704" s="1">
        <f t="shared" ca="1" si="124"/>
        <v>44778</v>
      </c>
      <c r="Q704" s="1">
        <f t="shared" ca="1" si="125"/>
        <v>44793</v>
      </c>
      <c r="R704">
        <f t="shared" ca="1" si="126"/>
        <v>45</v>
      </c>
      <c r="S704" t="str">
        <f t="shared" ca="1" si="127"/>
        <v>Late</v>
      </c>
      <c r="T704" t="str">
        <f t="shared" ca="1" si="128"/>
        <v>31-60</v>
      </c>
      <c r="U704">
        <f t="shared" ca="1" si="129"/>
        <v>15</v>
      </c>
      <c r="V704" t="str">
        <f t="shared" ca="1" si="130"/>
        <v>Inefficient</v>
      </c>
      <c r="W704">
        <f t="shared" si="131"/>
        <v>41277.5</v>
      </c>
    </row>
    <row r="705" spans="1:23" x14ac:dyDescent="0.35">
      <c r="A705" t="s">
        <v>730</v>
      </c>
      <c r="B705" t="s">
        <v>17</v>
      </c>
      <c r="C705" s="1">
        <v>45040</v>
      </c>
      <c r="D705" s="1">
        <v>45051</v>
      </c>
      <c r="E705" t="s">
        <v>39</v>
      </c>
      <c r="F705" t="s">
        <v>33</v>
      </c>
      <c r="G705">
        <v>1971</v>
      </c>
      <c r="H705">
        <v>32.4</v>
      </c>
      <c r="I705">
        <v>30.48</v>
      </c>
      <c r="J705">
        <v>321</v>
      </c>
      <c r="K705">
        <f t="shared" si="120"/>
        <v>1650</v>
      </c>
      <c r="L705" t="s">
        <v>15</v>
      </c>
      <c r="M705" s="1">
        <f t="shared" si="121"/>
        <v>45051</v>
      </c>
      <c r="N705" t="str">
        <f t="shared" ca="1" si="122"/>
        <v>Net 30</v>
      </c>
      <c r="O705">
        <f t="shared" ca="1" si="123"/>
        <v>30</v>
      </c>
      <c r="P705" s="1">
        <f t="shared" ca="1" si="124"/>
        <v>45081</v>
      </c>
      <c r="Q705" s="1">
        <f t="shared" ca="1" si="125"/>
        <v>45101</v>
      </c>
      <c r="R705">
        <f t="shared" ca="1" si="126"/>
        <v>50</v>
      </c>
      <c r="S705" t="str">
        <f t="shared" ca="1" si="127"/>
        <v>Late</v>
      </c>
      <c r="T705" t="str">
        <f t="shared" ca="1" si="128"/>
        <v>31-60</v>
      </c>
      <c r="U705">
        <f t="shared" ca="1" si="129"/>
        <v>20</v>
      </c>
      <c r="V705" t="str">
        <f t="shared" ca="1" si="130"/>
        <v>Inefficient</v>
      </c>
      <c r="W705">
        <f t="shared" si="131"/>
        <v>60076.08</v>
      </c>
    </row>
    <row r="706" spans="1:23" x14ac:dyDescent="0.35">
      <c r="A706" t="s">
        <v>731</v>
      </c>
      <c r="B706" t="s">
        <v>17</v>
      </c>
      <c r="C706" s="1">
        <v>44692</v>
      </c>
      <c r="E706" t="s">
        <v>26</v>
      </c>
      <c r="F706" t="s">
        <v>35</v>
      </c>
      <c r="G706">
        <v>1326</v>
      </c>
      <c r="H706">
        <v>59.49</v>
      </c>
      <c r="I706">
        <v>56.21</v>
      </c>
      <c r="K706">
        <f t="shared" si="120"/>
        <v>1326</v>
      </c>
      <c r="L706" t="s">
        <v>15</v>
      </c>
      <c r="M706" s="1">
        <f t="shared" si="121"/>
        <v>0</v>
      </c>
      <c r="N706" t="str">
        <f t="shared" ca="1" si="122"/>
        <v>Net 30</v>
      </c>
      <c r="O706">
        <f t="shared" ca="1" si="123"/>
        <v>30</v>
      </c>
      <c r="P706" s="1">
        <f t="shared" ca="1" si="124"/>
        <v>30</v>
      </c>
      <c r="Q706" s="1">
        <f t="shared" ca="1" si="125"/>
        <v>30</v>
      </c>
      <c r="R706">
        <f t="shared" ca="1" si="126"/>
        <v>30</v>
      </c>
      <c r="S706" t="str">
        <f t="shared" ca="1" si="127"/>
        <v>On Time</v>
      </c>
      <c r="T706" t="str">
        <f t="shared" ca="1" si="128"/>
        <v>0-30</v>
      </c>
      <c r="U706">
        <f t="shared" ca="1" si="129"/>
        <v>0</v>
      </c>
      <c r="V706" t="str">
        <f t="shared" ca="1" si="130"/>
        <v>Efficient</v>
      </c>
      <c r="W706">
        <f t="shared" si="131"/>
        <v>74534.460000000006</v>
      </c>
    </row>
    <row r="707" spans="1:23" x14ac:dyDescent="0.35">
      <c r="A707" t="s">
        <v>732</v>
      </c>
      <c r="B707" t="s">
        <v>17</v>
      </c>
      <c r="C707" s="1">
        <v>45199</v>
      </c>
      <c r="D707" s="1">
        <v>45212</v>
      </c>
      <c r="E707" t="s">
        <v>21</v>
      </c>
      <c r="F707" t="s">
        <v>14</v>
      </c>
      <c r="G707">
        <v>548</v>
      </c>
      <c r="H707">
        <v>69.7</v>
      </c>
      <c r="I707">
        <v>61.87</v>
      </c>
      <c r="J707">
        <v>90</v>
      </c>
      <c r="K707">
        <f t="shared" ref="K707:K770" si="132">G707-J707</f>
        <v>458</v>
      </c>
      <c r="L707" t="s">
        <v>15</v>
      </c>
      <c r="M707" s="1">
        <f t="shared" ref="M707:M770" si="133">D707</f>
        <v>45212</v>
      </c>
      <c r="N707" t="str">
        <f t="shared" ref="N707:N770" ca="1" si="134">CHOOSE(RANDBETWEEN(1,3),"Net 15","Net 30","Net 45")</f>
        <v>Net 45</v>
      </c>
      <c r="O707">
        <f t="shared" ref="O707:O770" ca="1" si="135">VALUE(RIGHT(N707,2))</f>
        <v>45</v>
      </c>
      <c r="P707" s="1">
        <f t="shared" ref="P707:P770" ca="1" si="136">(M707+O707)</f>
        <v>45257</v>
      </c>
      <c r="Q707" s="1">
        <f t="shared" ref="Q707:Q770" ca="1" si="137">P707 + RANDBETWEEN(-5,20)</f>
        <v>45266</v>
      </c>
      <c r="R707">
        <f t="shared" ref="R707:R770" ca="1" si="138">Q707-M707</f>
        <v>54</v>
      </c>
      <c r="S707" t="str">
        <f t="shared" ref="S707:S770" ca="1" si="139">IF(Q707&lt;=P707,"On Time","Late")</f>
        <v>Late</v>
      </c>
      <c r="T707" t="str">
        <f t="shared" ref="T707:T770" ca="1" si="140">IF(R707&lt;=30,"0-30",
IF(R707&lt;=60,"31-60",
IF(R707&lt;=90,"61-90","90+")))</f>
        <v>31-60</v>
      </c>
      <c r="U707">
        <f t="shared" ref="U707:U770" ca="1" si="141">MAX(0,Q707-P707)</f>
        <v>9</v>
      </c>
      <c r="V707" t="str">
        <f t="shared" ref="V707:V770" ca="1" si="142">IF(U707=0,"Efficient","Inefficient")</f>
        <v>Inefficient</v>
      </c>
      <c r="W707">
        <f t="shared" ref="W707:W770" si="143">G707*I707</f>
        <v>33904.76</v>
      </c>
    </row>
    <row r="708" spans="1:23" x14ac:dyDescent="0.35">
      <c r="A708" t="s">
        <v>733</v>
      </c>
      <c r="B708" t="s">
        <v>23</v>
      </c>
      <c r="C708" s="1">
        <v>45108</v>
      </c>
      <c r="D708" s="1">
        <v>45114</v>
      </c>
      <c r="E708" t="s">
        <v>21</v>
      </c>
      <c r="F708" t="s">
        <v>18</v>
      </c>
      <c r="G708">
        <v>803</v>
      </c>
      <c r="H708">
        <v>67.81</v>
      </c>
      <c r="I708">
        <v>61.53</v>
      </c>
      <c r="J708">
        <v>78</v>
      </c>
      <c r="K708">
        <f t="shared" si="132"/>
        <v>725</v>
      </c>
      <c r="L708" t="s">
        <v>15</v>
      </c>
      <c r="M708" s="1">
        <f t="shared" si="133"/>
        <v>45114</v>
      </c>
      <c r="N708" t="str">
        <f t="shared" ca="1" si="134"/>
        <v>Net 30</v>
      </c>
      <c r="O708">
        <f t="shared" ca="1" si="135"/>
        <v>30</v>
      </c>
      <c r="P708" s="1">
        <f t="shared" ca="1" si="136"/>
        <v>45144</v>
      </c>
      <c r="Q708" s="1">
        <f t="shared" ca="1" si="137"/>
        <v>45157</v>
      </c>
      <c r="R708">
        <f t="shared" ca="1" si="138"/>
        <v>43</v>
      </c>
      <c r="S708" t="str">
        <f t="shared" ca="1" si="139"/>
        <v>Late</v>
      </c>
      <c r="T708" t="str">
        <f t="shared" ca="1" si="140"/>
        <v>31-60</v>
      </c>
      <c r="U708">
        <f t="shared" ca="1" si="141"/>
        <v>13</v>
      </c>
      <c r="V708" t="str">
        <f t="shared" ca="1" si="142"/>
        <v>Inefficient</v>
      </c>
      <c r="W708">
        <f t="shared" si="143"/>
        <v>49408.590000000004</v>
      </c>
    </row>
    <row r="709" spans="1:23" x14ac:dyDescent="0.35">
      <c r="A709" t="s">
        <v>734</v>
      </c>
      <c r="B709" t="s">
        <v>12</v>
      </c>
      <c r="C709" s="1">
        <v>44589</v>
      </c>
      <c r="D709" s="1">
        <v>44607</v>
      </c>
      <c r="E709" t="s">
        <v>21</v>
      </c>
      <c r="F709" t="s">
        <v>18</v>
      </c>
      <c r="G709">
        <v>84</v>
      </c>
      <c r="H709">
        <v>18.23</v>
      </c>
      <c r="I709">
        <v>15.55</v>
      </c>
      <c r="J709">
        <v>0</v>
      </c>
      <c r="K709">
        <f t="shared" si="132"/>
        <v>84</v>
      </c>
      <c r="L709" t="s">
        <v>15</v>
      </c>
      <c r="M709" s="1">
        <f t="shared" si="133"/>
        <v>44607</v>
      </c>
      <c r="N709" t="str">
        <f t="shared" ca="1" si="134"/>
        <v>Net 45</v>
      </c>
      <c r="O709">
        <f t="shared" ca="1" si="135"/>
        <v>45</v>
      </c>
      <c r="P709" s="1">
        <f t="shared" ca="1" si="136"/>
        <v>44652</v>
      </c>
      <c r="Q709" s="1">
        <f t="shared" ca="1" si="137"/>
        <v>44660</v>
      </c>
      <c r="R709">
        <f t="shared" ca="1" si="138"/>
        <v>53</v>
      </c>
      <c r="S709" t="str">
        <f t="shared" ca="1" si="139"/>
        <v>Late</v>
      </c>
      <c r="T709" t="str">
        <f t="shared" ca="1" si="140"/>
        <v>31-60</v>
      </c>
      <c r="U709">
        <f t="shared" ca="1" si="141"/>
        <v>8</v>
      </c>
      <c r="V709" t="str">
        <f t="shared" ca="1" si="142"/>
        <v>Inefficient</v>
      </c>
      <c r="W709">
        <f t="shared" si="143"/>
        <v>1306.2</v>
      </c>
    </row>
    <row r="710" spans="1:23" x14ac:dyDescent="0.35">
      <c r="A710" t="s">
        <v>735</v>
      </c>
      <c r="B710" t="s">
        <v>29</v>
      </c>
      <c r="C710" s="1">
        <v>44965</v>
      </c>
      <c r="D710" s="1">
        <v>44977</v>
      </c>
      <c r="E710" t="s">
        <v>24</v>
      </c>
      <c r="F710" t="s">
        <v>18</v>
      </c>
      <c r="G710">
        <v>776</v>
      </c>
      <c r="H710">
        <v>94.75</v>
      </c>
      <c r="I710">
        <v>90.89</v>
      </c>
      <c r="J710">
        <v>19</v>
      </c>
      <c r="K710">
        <f t="shared" si="132"/>
        <v>757</v>
      </c>
      <c r="L710" t="s">
        <v>15</v>
      </c>
      <c r="M710" s="1">
        <f t="shared" si="133"/>
        <v>44977</v>
      </c>
      <c r="N710" t="str">
        <f t="shared" ca="1" si="134"/>
        <v>Net 45</v>
      </c>
      <c r="O710">
        <f t="shared" ca="1" si="135"/>
        <v>45</v>
      </c>
      <c r="P710" s="1">
        <f t="shared" ca="1" si="136"/>
        <v>45022</v>
      </c>
      <c r="Q710" s="1">
        <f t="shared" ca="1" si="137"/>
        <v>45030</v>
      </c>
      <c r="R710">
        <f t="shared" ca="1" si="138"/>
        <v>53</v>
      </c>
      <c r="S710" t="str">
        <f t="shared" ca="1" si="139"/>
        <v>Late</v>
      </c>
      <c r="T710" t="str">
        <f t="shared" ca="1" si="140"/>
        <v>31-60</v>
      </c>
      <c r="U710">
        <f t="shared" ca="1" si="141"/>
        <v>8</v>
      </c>
      <c r="V710" t="str">
        <f t="shared" ca="1" si="142"/>
        <v>Inefficient</v>
      </c>
      <c r="W710">
        <f t="shared" si="143"/>
        <v>70530.64</v>
      </c>
    </row>
    <row r="711" spans="1:23" x14ac:dyDescent="0.35">
      <c r="A711" t="s">
        <v>736</v>
      </c>
      <c r="B711" t="s">
        <v>12</v>
      </c>
      <c r="C711" s="1">
        <v>45168</v>
      </c>
      <c r="D711" s="1">
        <v>45177</v>
      </c>
      <c r="E711" t="s">
        <v>21</v>
      </c>
      <c r="F711" t="s">
        <v>18</v>
      </c>
      <c r="G711">
        <v>898</v>
      </c>
      <c r="H711">
        <v>37.119999999999997</v>
      </c>
      <c r="I711">
        <v>35.54</v>
      </c>
      <c r="J711">
        <v>18</v>
      </c>
      <c r="K711">
        <f t="shared" si="132"/>
        <v>880</v>
      </c>
      <c r="L711" t="s">
        <v>27</v>
      </c>
      <c r="M711" s="1">
        <f t="shared" si="133"/>
        <v>45177</v>
      </c>
      <c r="N711" t="str">
        <f t="shared" ca="1" si="134"/>
        <v>Net 30</v>
      </c>
      <c r="O711">
        <f t="shared" ca="1" si="135"/>
        <v>30</v>
      </c>
      <c r="P711" s="1">
        <f t="shared" ca="1" si="136"/>
        <v>45207</v>
      </c>
      <c r="Q711" s="1">
        <f t="shared" ca="1" si="137"/>
        <v>45207</v>
      </c>
      <c r="R711">
        <f t="shared" ca="1" si="138"/>
        <v>30</v>
      </c>
      <c r="S711" t="str">
        <f t="shared" ca="1" si="139"/>
        <v>On Time</v>
      </c>
      <c r="T711" t="str">
        <f t="shared" ca="1" si="140"/>
        <v>0-30</v>
      </c>
      <c r="U711">
        <f t="shared" ca="1" si="141"/>
        <v>0</v>
      </c>
      <c r="V711" t="str">
        <f t="shared" ca="1" si="142"/>
        <v>Efficient</v>
      </c>
      <c r="W711">
        <f t="shared" si="143"/>
        <v>31914.92</v>
      </c>
    </row>
    <row r="712" spans="1:23" x14ac:dyDescent="0.35">
      <c r="A712" t="s">
        <v>737</v>
      </c>
      <c r="B712" t="s">
        <v>23</v>
      </c>
      <c r="C712" s="1">
        <v>45139</v>
      </c>
      <c r="D712" s="1">
        <v>45146</v>
      </c>
      <c r="E712" t="s">
        <v>13</v>
      </c>
      <c r="F712" t="s">
        <v>14</v>
      </c>
      <c r="G712">
        <v>139</v>
      </c>
      <c r="H712">
        <v>23.71</v>
      </c>
      <c r="I712">
        <v>20.18</v>
      </c>
      <c r="J712">
        <v>14</v>
      </c>
      <c r="K712">
        <f t="shared" si="132"/>
        <v>125</v>
      </c>
      <c r="L712" t="s">
        <v>15</v>
      </c>
      <c r="M712" s="1">
        <f t="shared" si="133"/>
        <v>45146</v>
      </c>
      <c r="N712" t="str">
        <f t="shared" ca="1" si="134"/>
        <v>Net 30</v>
      </c>
      <c r="O712">
        <f t="shared" ca="1" si="135"/>
        <v>30</v>
      </c>
      <c r="P712" s="1">
        <f t="shared" ca="1" si="136"/>
        <v>45176</v>
      </c>
      <c r="Q712" s="1">
        <f t="shared" ca="1" si="137"/>
        <v>45193</v>
      </c>
      <c r="R712">
        <f t="shared" ca="1" si="138"/>
        <v>47</v>
      </c>
      <c r="S712" t="str">
        <f t="shared" ca="1" si="139"/>
        <v>Late</v>
      </c>
      <c r="T712" t="str">
        <f t="shared" ca="1" si="140"/>
        <v>31-60</v>
      </c>
      <c r="U712">
        <f t="shared" ca="1" si="141"/>
        <v>17</v>
      </c>
      <c r="V712" t="str">
        <f t="shared" ca="1" si="142"/>
        <v>Inefficient</v>
      </c>
      <c r="W712">
        <f t="shared" si="143"/>
        <v>2805.02</v>
      </c>
    </row>
    <row r="713" spans="1:23" x14ac:dyDescent="0.35">
      <c r="A713" t="s">
        <v>738</v>
      </c>
      <c r="B713" t="s">
        <v>20</v>
      </c>
      <c r="C713" s="1">
        <v>45240</v>
      </c>
      <c r="E713" t="s">
        <v>26</v>
      </c>
      <c r="F713" t="s">
        <v>18</v>
      </c>
      <c r="G713">
        <v>825</v>
      </c>
      <c r="H713">
        <v>99.89</v>
      </c>
      <c r="I713">
        <v>97.65</v>
      </c>
      <c r="J713">
        <v>30</v>
      </c>
      <c r="K713">
        <f t="shared" si="132"/>
        <v>795</v>
      </c>
      <c r="L713" t="s">
        <v>15</v>
      </c>
      <c r="M713" s="1">
        <f t="shared" si="133"/>
        <v>0</v>
      </c>
      <c r="N713" t="str">
        <f t="shared" ca="1" si="134"/>
        <v>Net 30</v>
      </c>
      <c r="O713">
        <f t="shared" ca="1" si="135"/>
        <v>30</v>
      </c>
      <c r="P713" s="1">
        <f t="shared" ca="1" si="136"/>
        <v>30</v>
      </c>
      <c r="Q713" s="1">
        <f t="shared" ca="1" si="137"/>
        <v>47</v>
      </c>
      <c r="R713">
        <f t="shared" ca="1" si="138"/>
        <v>47</v>
      </c>
      <c r="S713" t="str">
        <f t="shared" ca="1" si="139"/>
        <v>Late</v>
      </c>
      <c r="T713" t="str">
        <f t="shared" ca="1" si="140"/>
        <v>31-60</v>
      </c>
      <c r="U713">
        <f t="shared" ca="1" si="141"/>
        <v>17</v>
      </c>
      <c r="V713" t="str">
        <f t="shared" ca="1" si="142"/>
        <v>Inefficient</v>
      </c>
      <c r="W713">
        <f t="shared" si="143"/>
        <v>80561.25</v>
      </c>
    </row>
    <row r="714" spans="1:23" x14ac:dyDescent="0.35">
      <c r="A714" t="s">
        <v>739</v>
      </c>
      <c r="B714" t="s">
        <v>12</v>
      </c>
      <c r="C714" s="1">
        <v>44589</v>
      </c>
      <c r="D714" s="1">
        <v>44599</v>
      </c>
      <c r="E714" t="s">
        <v>21</v>
      </c>
      <c r="F714" t="s">
        <v>18</v>
      </c>
      <c r="G714">
        <v>654</v>
      </c>
      <c r="H714">
        <v>96.01</v>
      </c>
      <c r="I714">
        <v>90.31</v>
      </c>
      <c r="J714">
        <v>10</v>
      </c>
      <c r="K714">
        <f t="shared" si="132"/>
        <v>644</v>
      </c>
      <c r="L714" t="s">
        <v>15</v>
      </c>
      <c r="M714" s="1">
        <f t="shared" si="133"/>
        <v>44599</v>
      </c>
      <c r="N714" t="str">
        <f t="shared" ca="1" si="134"/>
        <v>Net 30</v>
      </c>
      <c r="O714">
        <f t="shared" ca="1" si="135"/>
        <v>30</v>
      </c>
      <c r="P714" s="1">
        <f t="shared" ca="1" si="136"/>
        <v>44629</v>
      </c>
      <c r="Q714" s="1">
        <f t="shared" ca="1" si="137"/>
        <v>44643</v>
      </c>
      <c r="R714">
        <f t="shared" ca="1" si="138"/>
        <v>44</v>
      </c>
      <c r="S714" t="str">
        <f t="shared" ca="1" si="139"/>
        <v>Late</v>
      </c>
      <c r="T714" t="str">
        <f t="shared" ca="1" si="140"/>
        <v>31-60</v>
      </c>
      <c r="U714">
        <f t="shared" ca="1" si="141"/>
        <v>14</v>
      </c>
      <c r="V714" t="str">
        <f t="shared" ca="1" si="142"/>
        <v>Inefficient</v>
      </c>
      <c r="W714">
        <f t="shared" si="143"/>
        <v>59062.74</v>
      </c>
    </row>
    <row r="715" spans="1:23" x14ac:dyDescent="0.35">
      <c r="A715" t="s">
        <v>740</v>
      </c>
      <c r="B715" t="s">
        <v>20</v>
      </c>
      <c r="C715" s="1">
        <v>44647</v>
      </c>
      <c r="D715" s="1">
        <v>44657</v>
      </c>
      <c r="E715" t="s">
        <v>21</v>
      </c>
      <c r="F715" t="s">
        <v>18</v>
      </c>
      <c r="G715">
        <v>1995</v>
      </c>
      <c r="H715">
        <v>88.47</v>
      </c>
      <c r="I715">
        <v>82.65</v>
      </c>
      <c r="J715">
        <v>87</v>
      </c>
      <c r="K715">
        <f t="shared" si="132"/>
        <v>1908</v>
      </c>
      <c r="L715" t="s">
        <v>27</v>
      </c>
      <c r="M715" s="1">
        <f t="shared" si="133"/>
        <v>44657</v>
      </c>
      <c r="N715" t="str">
        <f t="shared" ca="1" si="134"/>
        <v>Net 15</v>
      </c>
      <c r="O715">
        <f t="shared" ca="1" si="135"/>
        <v>15</v>
      </c>
      <c r="P715" s="1">
        <f t="shared" ca="1" si="136"/>
        <v>44672</v>
      </c>
      <c r="Q715" s="1">
        <f t="shared" ca="1" si="137"/>
        <v>44680</v>
      </c>
      <c r="R715">
        <f t="shared" ca="1" si="138"/>
        <v>23</v>
      </c>
      <c r="S715" t="str">
        <f t="shared" ca="1" si="139"/>
        <v>Late</v>
      </c>
      <c r="T715" t="str">
        <f t="shared" ca="1" si="140"/>
        <v>0-30</v>
      </c>
      <c r="U715">
        <f t="shared" ca="1" si="141"/>
        <v>8</v>
      </c>
      <c r="V715" t="str">
        <f t="shared" ca="1" si="142"/>
        <v>Inefficient</v>
      </c>
      <c r="W715">
        <f t="shared" si="143"/>
        <v>164886.75</v>
      </c>
    </row>
    <row r="716" spans="1:23" x14ac:dyDescent="0.35">
      <c r="A716" t="s">
        <v>741</v>
      </c>
      <c r="B716" t="s">
        <v>23</v>
      </c>
      <c r="C716" s="1">
        <v>45220</v>
      </c>
      <c r="D716" s="1">
        <v>45227</v>
      </c>
      <c r="E716" t="s">
        <v>21</v>
      </c>
      <c r="F716" t="s">
        <v>18</v>
      </c>
      <c r="G716">
        <v>1019</v>
      </c>
      <c r="H716">
        <v>91.56</v>
      </c>
      <c r="I716">
        <v>77.930000000000007</v>
      </c>
      <c r="J716">
        <v>111</v>
      </c>
      <c r="K716">
        <f t="shared" si="132"/>
        <v>908</v>
      </c>
      <c r="L716" t="s">
        <v>27</v>
      </c>
      <c r="M716" s="1">
        <f t="shared" si="133"/>
        <v>45227</v>
      </c>
      <c r="N716" t="str">
        <f t="shared" ca="1" si="134"/>
        <v>Net 15</v>
      </c>
      <c r="O716">
        <f t="shared" ca="1" si="135"/>
        <v>15</v>
      </c>
      <c r="P716" s="1">
        <f t="shared" ca="1" si="136"/>
        <v>45242</v>
      </c>
      <c r="Q716" s="1">
        <f t="shared" ca="1" si="137"/>
        <v>45261</v>
      </c>
      <c r="R716">
        <f t="shared" ca="1" si="138"/>
        <v>34</v>
      </c>
      <c r="S716" t="str">
        <f t="shared" ca="1" si="139"/>
        <v>Late</v>
      </c>
      <c r="T716" t="str">
        <f t="shared" ca="1" si="140"/>
        <v>31-60</v>
      </c>
      <c r="U716">
        <f t="shared" ca="1" si="141"/>
        <v>19</v>
      </c>
      <c r="V716" t="str">
        <f t="shared" ca="1" si="142"/>
        <v>Inefficient</v>
      </c>
      <c r="W716">
        <f t="shared" si="143"/>
        <v>79410.670000000013</v>
      </c>
    </row>
    <row r="717" spans="1:23" x14ac:dyDescent="0.35">
      <c r="A717" t="s">
        <v>742</v>
      </c>
      <c r="B717" t="s">
        <v>29</v>
      </c>
      <c r="C717" s="1">
        <v>45000</v>
      </c>
      <c r="D717" s="1">
        <v>45016</v>
      </c>
      <c r="E717" t="s">
        <v>24</v>
      </c>
      <c r="F717" t="s">
        <v>35</v>
      </c>
      <c r="G717">
        <v>1675</v>
      </c>
      <c r="H717">
        <v>73.8</v>
      </c>
      <c r="I717">
        <v>65.34</v>
      </c>
      <c r="J717">
        <v>42</v>
      </c>
      <c r="K717">
        <f t="shared" si="132"/>
        <v>1633</v>
      </c>
      <c r="L717" t="s">
        <v>15</v>
      </c>
      <c r="M717" s="1">
        <f t="shared" si="133"/>
        <v>45016</v>
      </c>
      <c r="N717" t="str">
        <f t="shared" ca="1" si="134"/>
        <v>Net 45</v>
      </c>
      <c r="O717">
        <f t="shared" ca="1" si="135"/>
        <v>45</v>
      </c>
      <c r="P717" s="1">
        <f t="shared" ca="1" si="136"/>
        <v>45061</v>
      </c>
      <c r="Q717" s="1">
        <f t="shared" ca="1" si="137"/>
        <v>45061</v>
      </c>
      <c r="R717">
        <f t="shared" ca="1" si="138"/>
        <v>45</v>
      </c>
      <c r="S717" t="str">
        <f t="shared" ca="1" si="139"/>
        <v>On Time</v>
      </c>
      <c r="T717" t="str">
        <f t="shared" ca="1" si="140"/>
        <v>31-60</v>
      </c>
      <c r="U717">
        <f t="shared" ca="1" si="141"/>
        <v>0</v>
      </c>
      <c r="V717" t="str">
        <f t="shared" ca="1" si="142"/>
        <v>Efficient</v>
      </c>
      <c r="W717">
        <f t="shared" si="143"/>
        <v>109444.5</v>
      </c>
    </row>
    <row r="718" spans="1:23" x14ac:dyDescent="0.35">
      <c r="A718" t="s">
        <v>743</v>
      </c>
      <c r="B718" t="s">
        <v>20</v>
      </c>
      <c r="C718" s="1">
        <v>44700</v>
      </c>
      <c r="D718" s="1">
        <v>44712</v>
      </c>
      <c r="E718" t="s">
        <v>26</v>
      </c>
      <c r="F718" t="s">
        <v>35</v>
      </c>
      <c r="G718">
        <v>1071</v>
      </c>
      <c r="H718">
        <v>60.77</v>
      </c>
      <c r="I718">
        <v>58.5</v>
      </c>
      <c r="K718">
        <f t="shared" si="132"/>
        <v>1071</v>
      </c>
      <c r="L718" t="s">
        <v>15</v>
      </c>
      <c r="M718" s="1">
        <f t="shared" si="133"/>
        <v>44712</v>
      </c>
      <c r="N718" t="str">
        <f t="shared" ca="1" si="134"/>
        <v>Net 30</v>
      </c>
      <c r="O718">
        <f t="shared" ca="1" si="135"/>
        <v>30</v>
      </c>
      <c r="P718" s="1">
        <f t="shared" ca="1" si="136"/>
        <v>44742</v>
      </c>
      <c r="Q718" s="1">
        <f t="shared" ca="1" si="137"/>
        <v>44741</v>
      </c>
      <c r="R718">
        <f t="shared" ca="1" si="138"/>
        <v>29</v>
      </c>
      <c r="S718" t="str">
        <f t="shared" ca="1" si="139"/>
        <v>On Time</v>
      </c>
      <c r="T718" t="str">
        <f t="shared" ca="1" si="140"/>
        <v>0-30</v>
      </c>
      <c r="U718">
        <f t="shared" ca="1" si="141"/>
        <v>0</v>
      </c>
      <c r="V718" t="str">
        <f t="shared" ca="1" si="142"/>
        <v>Efficient</v>
      </c>
      <c r="W718">
        <f t="shared" si="143"/>
        <v>62653.5</v>
      </c>
    </row>
    <row r="719" spans="1:23" x14ac:dyDescent="0.35">
      <c r="A719" t="s">
        <v>744</v>
      </c>
      <c r="B719" t="s">
        <v>23</v>
      </c>
      <c r="C719" s="1">
        <v>45034</v>
      </c>
      <c r="D719" s="1">
        <v>45043</v>
      </c>
      <c r="E719" t="s">
        <v>13</v>
      </c>
      <c r="F719" t="s">
        <v>18</v>
      </c>
      <c r="G719">
        <v>467</v>
      </c>
      <c r="H719">
        <v>19.170000000000002</v>
      </c>
      <c r="I719">
        <v>17.11</v>
      </c>
      <c r="J719">
        <v>49</v>
      </c>
      <c r="K719">
        <f t="shared" si="132"/>
        <v>418</v>
      </c>
      <c r="L719" t="s">
        <v>15</v>
      </c>
      <c r="M719" s="1">
        <f t="shared" si="133"/>
        <v>45043</v>
      </c>
      <c r="N719" t="str">
        <f t="shared" ca="1" si="134"/>
        <v>Net 45</v>
      </c>
      <c r="O719">
        <f t="shared" ca="1" si="135"/>
        <v>45</v>
      </c>
      <c r="P719" s="1">
        <f t="shared" ca="1" si="136"/>
        <v>45088</v>
      </c>
      <c r="Q719" s="1">
        <f t="shared" ca="1" si="137"/>
        <v>45092</v>
      </c>
      <c r="R719">
        <f t="shared" ca="1" si="138"/>
        <v>49</v>
      </c>
      <c r="S719" t="str">
        <f t="shared" ca="1" si="139"/>
        <v>Late</v>
      </c>
      <c r="T719" t="str">
        <f t="shared" ca="1" si="140"/>
        <v>31-60</v>
      </c>
      <c r="U719">
        <f t="shared" ca="1" si="141"/>
        <v>4</v>
      </c>
      <c r="V719" t="str">
        <f t="shared" ca="1" si="142"/>
        <v>Inefficient</v>
      </c>
      <c r="W719">
        <f t="shared" si="143"/>
        <v>7990.37</v>
      </c>
    </row>
    <row r="720" spans="1:23" x14ac:dyDescent="0.35">
      <c r="A720" t="s">
        <v>745</v>
      </c>
      <c r="B720" t="s">
        <v>17</v>
      </c>
      <c r="C720" s="1">
        <v>44748</v>
      </c>
      <c r="D720" s="1">
        <v>44767</v>
      </c>
      <c r="E720" t="s">
        <v>21</v>
      </c>
      <c r="F720" t="s">
        <v>35</v>
      </c>
      <c r="G720">
        <v>164</v>
      </c>
      <c r="H720">
        <v>48.16</v>
      </c>
      <c r="I720">
        <v>47.46</v>
      </c>
      <c r="J720">
        <v>27</v>
      </c>
      <c r="K720">
        <f t="shared" si="132"/>
        <v>137</v>
      </c>
      <c r="L720" t="s">
        <v>15</v>
      </c>
      <c r="M720" s="1">
        <f t="shared" si="133"/>
        <v>44767</v>
      </c>
      <c r="N720" t="str">
        <f t="shared" ca="1" si="134"/>
        <v>Net 30</v>
      </c>
      <c r="O720">
        <f t="shared" ca="1" si="135"/>
        <v>30</v>
      </c>
      <c r="P720" s="1">
        <f t="shared" ca="1" si="136"/>
        <v>44797</v>
      </c>
      <c r="Q720" s="1">
        <f t="shared" ca="1" si="137"/>
        <v>44800</v>
      </c>
      <c r="R720">
        <f t="shared" ca="1" si="138"/>
        <v>33</v>
      </c>
      <c r="S720" t="str">
        <f t="shared" ca="1" si="139"/>
        <v>Late</v>
      </c>
      <c r="T720" t="str">
        <f t="shared" ca="1" si="140"/>
        <v>31-60</v>
      </c>
      <c r="U720">
        <f t="shared" ca="1" si="141"/>
        <v>3</v>
      </c>
      <c r="V720" t="str">
        <f t="shared" ca="1" si="142"/>
        <v>Inefficient</v>
      </c>
      <c r="W720">
        <f t="shared" si="143"/>
        <v>7783.4400000000005</v>
      </c>
    </row>
    <row r="721" spans="1:23" x14ac:dyDescent="0.35">
      <c r="A721" t="s">
        <v>746</v>
      </c>
      <c r="B721" t="s">
        <v>29</v>
      </c>
      <c r="C721" s="1">
        <v>44613</v>
      </c>
      <c r="D721" s="1">
        <v>44626</v>
      </c>
      <c r="E721" t="s">
        <v>39</v>
      </c>
      <c r="F721" t="s">
        <v>14</v>
      </c>
      <c r="G721">
        <v>666</v>
      </c>
      <c r="H721">
        <v>43.76</v>
      </c>
      <c r="I721">
        <v>41.13</v>
      </c>
      <c r="J721">
        <v>18</v>
      </c>
      <c r="K721">
        <f t="shared" si="132"/>
        <v>648</v>
      </c>
      <c r="L721" t="s">
        <v>15</v>
      </c>
      <c r="M721" s="1">
        <f t="shared" si="133"/>
        <v>44626</v>
      </c>
      <c r="N721" t="str">
        <f t="shared" ca="1" si="134"/>
        <v>Net 30</v>
      </c>
      <c r="O721">
        <f t="shared" ca="1" si="135"/>
        <v>30</v>
      </c>
      <c r="P721" s="1">
        <f t="shared" ca="1" si="136"/>
        <v>44656</v>
      </c>
      <c r="Q721" s="1">
        <f t="shared" ca="1" si="137"/>
        <v>44657</v>
      </c>
      <c r="R721">
        <f t="shared" ca="1" si="138"/>
        <v>31</v>
      </c>
      <c r="S721" t="str">
        <f t="shared" ca="1" si="139"/>
        <v>Late</v>
      </c>
      <c r="T721" t="str">
        <f t="shared" ca="1" si="140"/>
        <v>31-60</v>
      </c>
      <c r="U721">
        <f t="shared" ca="1" si="141"/>
        <v>1</v>
      </c>
      <c r="V721" t="str">
        <f t="shared" ca="1" si="142"/>
        <v>Inefficient</v>
      </c>
      <c r="W721">
        <f t="shared" si="143"/>
        <v>27392.58</v>
      </c>
    </row>
    <row r="722" spans="1:23" x14ac:dyDescent="0.35">
      <c r="A722" t="s">
        <v>747</v>
      </c>
      <c r="B722" t="s">
        <v>17</v>
      </c>
      <c r="C722" s="1">
        <v>44828</v>
      </c>
      <c r="D722" s="1">
        <v>44841</v>
      </c>
      <c r="E722" t="s">
        <v>24</v>
      </c>
      <c r="F722" t="s">
        <v>33</v>
      </c>
      <c r="G722">
        <v>1976</v>
      </c>
      <c r="H722">
        <v>34.71</v>
      </c>
      <c r="I722">
        <v>31.56</v>
      </c>
      <c r="J722">
        <v>286</v>
      </c>
      <c r="K722">
        <f t="shared" si="132"/>
        <v>1690</v>
      </c>
      <c r="L722" t="s">
        <v>27</v>
      </c>
      <c r="M722" s="1">
        <f t="shared" si="133"/>
        <v>44841</v>
      </c>
      <c r="N722" t="str">
        <f t="shared" ca="1" si="134"/>
        <v>Net 45</v>
      </c>
      <c r="O722">
        <f t="shared" ca="1" si="135"/>
        <v>45</v>
      </c>
      <c r="P722" s="1">
        <f t="shared" ca="1" si="136"/>
        <v>44886</v>
      </c>
      <c r="Q722" s="1">
        <f t="shared" ca="1" si="137"/>
        <v>44903</v>
      </c>
      <c r="R722">
        <f t="shared" ca="1" si="138"/>
        <v>62</v>
      </c>
      <c r="S722" t="str">
        <f t="shared" ca="1" si="139"/>
        <v>Late</v>
      </c>
      <c r="T722" t="str">
        <f t="shared" ca="1" si="140"/>
        <v>61-90</v>
      </c>
      <c r="U722">
        <f t="shared" ca="1" si="141"/>
        <v>17</v>
      </c>
      <c r="V722" t="str">
        <f t="shared" ca="1" si="142"/>
        <v>Inefficient</v>
      </c>
      <c r="W722">
        <f t="shared" si="143"/>
        <v>62362.559999999998</v>
      </c>
    </row>
    <row r="723" spans="1:23" x14ac:dyDescent="0.35">
      <c r="A723" t="s">
        <v>748</v>
      </c>
      <c r="B723" t="s">
        <v>29</v>
      </c>
      <c r="C723" s="1">
        <v>44950</v>
      </c>
      <c r="D723" s="1">
        <v>44955</v>
      </c>
      <c r="E723" t="s">
        <v>21</v>
      </c>
      <c r="F723" t="s">
        <v>18</v>
      </c>
      <c r="G723">
        <v>1269</v>
      </c>
      <c r="H723">
        <v>79.61</v>
      </c>
      <c r="I723">
        <v>71.86</v>
      </c>
      <c r="J723">
        <v>47</v>
      </c>
      <c r="K723">
        <f t="shared" si="132"/>
        <v>1222</v>
      </c>
      <c r="L723" t="s">
        <v>15</v>
      </c>
      <c r="M723" s="1">
        <f t="shared" si="133"/>
        <v>44955</v>
      </c>
      <c r="N723" t="str">
        <f t="shared" ca="1" si="134"/>
        <v>Net 15</v>
      </c>
      <c r="O723">
        <f t="shared" ca="1" si="135"/>
        <v>15</v>
      </c>
      <c r="P723" s="1">
        <f t="shared" ca="1" si="136"/>
        <v>44970</v>
      </c>
      <c r="Q723" s="1">
        <f t="shared" ca="1" si="137"/>
        <v>44969</v>
      </c>
      <c r="R723">
        <f t="shared" ca="1" si="138"/>
        <v>14</v>
      </c>
      <c r="S723" t="str">
        <f t="shared" ca="1" si="139"/>
        <v>On Time</v>
      </c>
      <c r="T723" t="str">
        <f t="shared" ca="1" si="140"/>
        <v>0-30</v>
      </c>
      <c r="U723">
        <f t="shared" ca="1" si="141"/>
        <v>0</v>
      </c>
      <c r="V723" t="str">
        <f t="shared" ca="1" si="142"/>
        <v>Efficient</v>
      </c>
      <c r="W723">
        <f t="shared" si="143"/>
        <v>91190.34</v>
      </c>
    </row>
    <row r="724" spans="1:23" x14ac:dyDescent="0.35">
      <c r="A724" t="s">
        <v>749</v>
      </c>
      <c r="B724" t="s">
        <v>29</v>
      </c>
      <c r="C724" s="1">
        <v>44897</v>
      </c>
      <c r="D724" s="1">
        <v>44907</v>
      </c>
      <c r="E724" t="s">
        <v>21</v>
      </c>
      <c r="F724" t="s">
        <v>18</v>
      </c>
      <c r="G724">
        <v>875</v>
      </c>
      <c r="H724">
        <v>57.63</v>
      </c>
      <c r="I724">
        <v>51.8</v>
      </c>
      <c r="J724">
        <v>16</v>
      </c>
      <c r="K724">
        <f t="shared" si="132"/>
        <v>859</v>
      </c>
      <c r="L724" t="s">
        <v>15</v>
      </c>
      <c r="M724" s="1">
        <f t="shared" si="133"/>
        <v>44907</v>
      </c>
      <c r="N724" t="str">
        <f t="shared" ca="1" si="134"/>
        <v>Net 30</v>
      </c>
      <c r="O724">
        <f t="shared" ca="1" si="135"/>
        <v>30</v>
      </c>
      <c r="P724" s="1">
        <f t="shared" ca="1" si="136"/>
        <v>44937</v>
      </c>
      <c r="Q724" s="1">
        <f t="shared" ca="1" si="137"/>
        <v>44937</v>
      </c>
      <c r="R724">
        <f t="shared" ca="1" si="138"/>
        <v>30</v>
      </c>
      <c r="S724" t="str">
        <f t="shared" ca="1" si="139"/>
        <v>On Time</v>
      </c>
      <c r="T724" t="str">
        <f t="shared" ca="1" si="140"/>
        <v>0-30</v>
      </c>
      <c r="U724">
        <f t="shared" ca="1" si="141"/>
        <v>0</v>
      </c>
      <c r="V724" t="str">
        <f t="shared" ca="1" si="142"/>
        <v>Efficient</v>
      </c>
      <c r="W724">
        <f t="shared" si="143"/>
        <v>45325</v>
      </c>
    </row>
    <row r="725" spans="1:23" x14ac:dyDescent="0.35">
      <c r="A725" t="s">
        <v>750</v>
      </c>
      <c r="B725" t="s">
        <v>12</v>
      </c>
      <c r="C725" s="1">
        <v>44778</v>
      </c>
      <c r="E725" t="s">
        <v>24</v>
      </c>
      <c r="F725" t="s">
        <v>33</v>
      </c>
      <c r="G725">
        <v>1574</v>
      </c>
      <c r="H725">
        <v>17.899999999999999</v>
      </c>
      <c r="I725">
        <v>15.85</v>
      </c>
      <c r="J725">
        <v>31</v>
      </c>
      <c r="K725">
        <f t="shared" si="132"/>
        <v>1543</v>
      </c>
      <c r="L725" t="s">
        <v>15</v>
      </c>
      <c r="M725" s="1">
        <f t="shared" si="133"/>
        <v>0</v>
      </c>
      <c r="N725" t="str">
        <f t="shared" ca="1" si="134"/>
        <v>Net 15</v>
      </c>
      <c r="O725">
        <f t="shared" ca="1" si="135"/>
        <v>15</v>
      </c>
      <c r="P725" s="1">
        <f t="shared" ca="1" si="136"/>
        <v>15</v>
      </c>
      <c r="Q725" s="1">
        <f t="shared" ca="1" si="137"/>
        <v>28</v>
      </c>
      <c r="R725">
        <f t="shared" ca="1" si="138"/>
        <v>28</v>
      </c>
      <c r="S725" t="str">
        <f t="shared" ca="1" si="139"/>
        <v>Late</v>
      </c>
      <c r="T725" t="str">
        <f t="shared" ca="1" si="140"/>
        <v>0-30</v>
      </c>
      <c r="U725">
        <f t="shared" ca="1" si="141"/>
        <v>13</v>
      </c>
      <c r="V725" t="str">
        <f t="shared" ca="1" si="142"/>
        <v>Inefficient</v>
      </c>
      <c r="W725">
        <f t="shared" si="143"/>
        <v>24947.899999999998</v>
      </c>
    </row>
    <row r="726" spans="1:23" x14ac:dyDescent="0.35">
      <c r="A726" t="s">
        <v>751</v>
      </c>
      <c r="B726" t="s">
        <v>29</v>
      </c>
      <c r="C726" s="1">
        <v>45027</v>
      </c>
      <c r="D726" s="1">
        <v>45042</v>
      </c>
      <c r="E726" t="s">
        <v>13</v>
      </c>
      <c r="F726" t="s">
        <v>33</v>
      </c>
      <c r="G726">
        <v>1699</v>
      </c>
      <c r="H726">
        <v>32.049999999999997</v>
      </c>
      <c r="I726">
        <v>29.34</v>
      </c>
      <c r="J726">
        <v>69</v>
      </c>
      <c r="K726">
        <f t="shared" si="132"/>
        <v>1630</v>
      </c>
      <c r="L726" t="s">
        <v>15</v>
      </c>
      <c r="M726" s="1">
        <f t="shared" si="133"/>
        <v>45042</v>
      </c>
      <c r="N726" t="str">
        <f t="shared" ca="1" si="134"/>
        <v>Net 45</v>
      </c>
      <c r="O726">
        <f t="shared" ca="1" si="135"/>
        <v>45</v>
      </c>
      <c r="P726" s="1">
        <f t="shared" ca="1" si="136"/>
        <v>45087</v>
      </c>
      <c r="Q726" s="1">
        <f t="shared" ca="1" si="137"/>
        <v>45085</v>
      </c>
      <c r="R726">
        <f t="shared" ca="1" si="138"/>
        <v>43</v>
      </c>
      <c r="S726" t="str">
        <f t="shared" ca="1" si="139"/>
        <v>On Time</v>
      </c>
      <c r="T726" t="str">
        <f t="shared" ca="1" si="140"/>
        <v>31-60</v>
      </c>
      <c r="U726">
        <f t="shared" ca="1" si="141"/>
        <v>0</v>
      </c>
      <c r="V726" t="str">
        <f t="shared" ca="1" si="142"/>
        <v>Efficient</v>
      </c>
      <c r="W726">
        <f t="shared" si="143"/>
        <v>49848.659999999996</v>
      </c>
    </row>
    <row r="727" spans="1:23" x14ac:dyDescent="0.35">
      <c r="A727" t="s">
        <v>752</v>
      </c>
      <c r="B727" t="s">
        <v>12</v>
      </c>
      <c r="C727" s="1">
        <v>44896</v>
      </c>
      <c r="D727" s="1">
        <v>44912</v>
      </c>
      <c r="E727" t="s">
        <v>39</v>
      </c>
      <c r="F727" t="s">
        <v>18</v>
      </c>
      <c r="G727">
        <v>1566</v>
      </c>
      <c r="H727">
        <v>75.430000000000007</v>
      </c>
      <c r="I727">
        <v>71.27</v>
      </c>
      <c r="J727">
        <v>27</v>
      </c>
      <c r="K727">
        <f t="shared" si="132"/>
        <v>1539</v>
      </c>
      <c r="L727" t="s">
        <v>15</v>
      </c>
      <c r="M727" s="1">
        <f t="shared" si="133"/>
        <v>44912</v>
      </c>
      <c r="N727" t="str">
        <f t="shared" ca="1" si="134"/>
        <v>Net 30</v>
      </c>
      <c r="O727">
        <f t="shared" ca="1" si="135"/>
        <v>30</v>
      </c>
      <c r="P727" s="1">
        <f t="shared" ca="1" si="136"/>
        <v>44942</v>
      </c>
      <c r="Q727" s="1">
        <f t="shared" ca="1" si="137"/>
        <v>44958</v>
      </c>
      <c r="R727">
        <f t="shared" ca="1" si="138"/>
        <v>46</v>
      </c>
      <c r="S727" t="str">
        <f t="shared" ca="1" si="139"/>
        <v>Late</v>
      </c>
      <c r="T727" t="str">
        <f t="shared" ca="1" si="140"/>
        <v>31-60</v>
      </c>
      <c r="U727">
        <f t="shared" ca="1" si="141"/>
        <v>16</v>
      </c>
      <c r="V727" t="str">
        <f t="shared" ca="1" si="142"/>
        <v>Inefficient</v>
      </c>
      <c r="W727">
        <f t="shared" si="143"/>
        <v>111608.81999999999</v>
      </c>
    </row>
    <row r="728" spans="1:23" x14ac:dyDescent="0.35">
      <c r="A728" t="s">
        <v>753</v>
      </c>
      <c r="B728" t="s">
        <v>20</v>
      </c>
      <c r="C728" s="1">
        <v>44907</v>
      </c>
      <c r="D728" s="1">
        <v>44925</v>
      </c>
      <c r="E728" t="s">
        <v>39</v>
      </c>
      <c r="F728" t="s">
        <v>18</v>
      </c>
      <c r="G728">
        <v>1148</v>
      </c>
      <c r="H728">
        <v>17.78</v>
      </c>
      <c r="I728">
        <v>17.16</v>
      </c>
      <c r="J728">
        <v>61</v>
      </c>
      <c r="K728">
        <f t="shared" si="132"/>
        <v>1087</v>
      </c>
      <c r="L728" t="s">
        <v>15</v>
      </c>
      <c r="M728" s="1">
        <f t="shared" si="133"/>
        <v>44925</v>
      </c>
      <c r="N728" t="str">
        <f t="shared" ca="1" si="134"/>
        <v>Net 30</v>
      </c>
      <c r="O728">
        <f t="shared" ca="1" si="135"/>
        <v>30</v>
      </c>
      <c r="P728" s="1">
        <f t="shared" ca="1" si="136"/>
        <v>44955</v>
      </c>
      <c r="Q728" s="1">
        <f t="shared" ca="1" si="137"/>
        <v>44965</v>
      </c>
      <c r="R728">
        <f t="shared" ca="1" si="138"/>
        <v>40</v>
      </c>
      <c r="S728" t="str">
        <f t="shared" ca="1" si="139"/>
        <v>Late</v>
      </c>
      <c r="T728" t="str">
        <f t="shared" ca="1" si="140"/>
        <v>31-60</v>
      </c>
      <c r="U728">
        <f t="shared" ca="1" si="141"/>
        <v>10</v>
      </c>
      <c r="V728" t="str">
        <f t="shared" ca="1" si="142"/>
        <v>Inefficient</v>
      </c>
      <c r="W728">
        <f t="shared" si="143"/>
        <v>19699.68</v>
      </c>
    </row>
    <row r="729" spans="1:23" x14ac:dyDescent="0.35">
      <c r="A729" t="s">
        <v>754</v>
      </c>
      <c r="B729" t="s">
        <v>29</v>
      </c>
      <c r="C729" s="1">
        <v>44950</v>
      </c>
      <c r="D729" s="1">
        <v>44968</v>
      </c>
      <c r="E729" t="s">
        <v>13</v>
      </c>
      <c r="F729" t="s">
        <v>18</v>
      </c>
      <c r="G729">
        <v>462</v>
      </c>
      <c r="H729">
        <v>91.81</v>
      </c>
      <c r="I729">
        <v>83.14</v>
      </c>
      <c r="J729">
        <v>11</v>
      </c>
      <c r="K729">
        <f t="shared" si="132"/>
        <v>451</v>
      </c>
      <c r="L729" t="s">
        <v>15</v>
      </c>
      <c r="M729" s="1">
        <f t="shared" si="133"/>
        <v>44968</v>
      </c>
      <c r="N729" t="str">
        <f t="shared" ca="1" si="134"/>
        <v>Net 15</v>
      </c>
      <c r="O729">
        <f t="shared" ca="1" si="135"/>
        <v>15</v>
      </c>
      <c r="P729" s="1">
        <f t="shared" ca="1" si="136"/>
        <v>44983</v>
      </c>
      <c r="Q729" s="1">
        <f t="shared" ca="1" si="137"/>
        <v>44987</v>
      </c>
      <c r="R729">
        <f t="shared" ca="1" si="138"/>
        <v>19</v>
      </c>
      <c r="S729" t="str">
        <f t="shared" ca="1" si="139"/>
        <v>Late</v>
      </c>
      <c r="T729" t="str">
        <f t="shared" ca="1" si="140"/>
        <v>0-30</v>
      </c>
      <c r="U729">
        <f t="shared" ca="1" si="141"/>
        <v>4</v>
      </c>
      <c r="V729" t="str">
        <f t="shared" ca="1" si="142"/>
        <v>Inefficient</v>
      </c>
      <c r="W729">
        <f t="shared" si="143"/>
        <v>38410.68</v>
      </c>
    </row>
    <row r="730" spans="1:23" x14ac:dyDescent="0.35">
      <c r="A730" t="s">
        <v>755</v>
      </c>
      <c r="B730" t="s">
        <v>20</v>
      </c>
      <c r="C730" s="1">
        <v>44846</v>
      </c>
      <c r="D730" s="1">
        <v>44851</v>
      </c>
      <c r="E730" t="s">
        <v>24</v>
      </c>
      <c r="F730" t="s">
        <v>18</v>
      </c>
      <c r="G730">
        <v>1449</v>
      </c>
      <c r="H730">
        <v>57.02</v>
      </c>
      <c r="I730">
        <v>49.28</v>
      </c>
      <c r="J730">
        <v>71</v>
      </c>
      <c r="K730">
        <f t="shared" si="132"/>
        <v>1378</v>
      </c>
      <c r="L730" t="s">
        <v>15</v>
      </c>
      <c r="M730" s="1">
        <f t="shared" si="133"/>
        <v>44851</v>
      </c>
      <c r="N730" t="str">
        <f t="shared" ca="1" si="134"/>
        <v>Net 15</v>
      </c>
      <c r="O730">
        <f t="shared" ca="1" si="135"/>
        <v>15</v>
      </c>
      <c r="P730" s="1">
        <f t="shared" ca="1" si="136"/>
        <v>44866</v>
      </c>
      <c r="Q730" s="1">
        <f t="shared" ca="1" si="137"/>
        <v>44868</v>
      </c>
      <c r="R730">
        <f t="shared" ca="1" si="138"/>
        <v>17</v>
      </c>
      <c r="S730" t="str">
        <f t="shared" ca="1" si="139"/>
        <v>Late</v>
      </c>
      <c r="T730" t="str">
        <f t="shared" ca="1" si="140"/>
        <v>0-30</v>
      </c>
      <c r="U730">
        <f t="shared" ca="1" si="141"/>
        <v>2</v>
      </c>
      <c r="V730" t="str">
        <f t="shared" ca="1" si="142"/>
        <v>Inefficient</v>
      </c>
      <c r="W730">
        <f t="shared" si="143"/>
        <v>71406.720000000001</v>
      </c>
    </row>
    <row r="731" spans="1:23" x14ac:dyDescent="0.35">
      <c r="A731" t="s">
        <v>756</v>
      </c>
      <c r="B731" t="s">
        <v>29</v>
      </c>
      <c r="C731" s="1">
        <v>44993</v>
      </c>
      <c r="D731" s="1">
        <v>45012</v>
      </c>
      <c r="E731" t="s">
        <v>21</v>
      </c>
      <c r="F731" t="s">
        <v>18</v>
      </c>
      <c r="G731">
        <v>1493</v>
      </c>
      <c r="H731">
        <v>56.98</v>
      </c>
      <c r="I731">
        <v>52.51</v>
      </c>
      <c r="J731">
        <v>43</v>
      </c>
      <c r="K731">
        <f t="shared" si="132"/>
        <v>1450</v>
      </c>
      <c r="L731" t="s">
        <v>15</v>
      </c>
      <c r="M731" s="1">
        <f t="shared" si="133"/>
        <v>45012</v>
      </c>
      <c r="N731" t="str">
        <f t="shared" ca="1" si="134"/>
        <v>Net 30</v>
      </c>
      <c r="O731">
        <f t="shared" ca="1" si="135"/>
        <v>30</v>
      </c>
      <c r="P731" s="1">
        <f t="shared" ca="1" si="136"/>
        <v>45042</v>
      </c>
      <c r="Q731" s="1">
        <f t="shared" ca="1" si="137"/>
        <v>45044</v>
      </c>
      <c r="R731">
        <f t="shared" ca="1" si="138"/>
        <v>32</v>
      </c>
      <c r="S731" t="str">
        <f t="shared" ca="1" si="139"/>
        <v>Late</v>
      </c>
      <c r="T731" t="str">
        <f t="shared" ca="1" si="140"/>
        <v>31-60</v>
      </c>
      <c r="U731">
        <f t="shared" ca="1" si="141"/>
        <v>2</v>
      </c>
      <c r="V731" t="str">
        <f t="shared" ca="1" si="142"/>
        <v>Inefficient</v>
      </c>
      <c r="W731">
        <f t="shared" si="143"/>
        <v>78397.429999999993</v>
      </c>
    </row>
    <row r="732" spans="1:23" x14ac:dyDescent="0.35">
      <c r="A732" t="s">
        <v>757</v>
      </c>
      <c r="B732" t="s">
        <v>12</v>
      </c>
      <c r="C732" s="1">
        <v>44820</v>
      </c>
      <c r="D732" s="1">
        <v>44822</v>
      </c>
      <c r="E732" t="s">
        <v>13</v>
      </c>
      <c r="F732" t="s">
        <v>18</v>
      </c>
      <c r="G732">
        <v>778</v>
      </c>
      <c r="H732">
        <v>65.849999999999994</v>
      </c>
      <c r="I732">
        <v>62.08</v>
      </c>
      <c r="K732">
        <f t="shared" si="132"/>
        <v>778</v>
      </c>
      <c r="L732" t="s">
        <v>27</v>
      </c>
      <c r="M732" s="1">
        <f t="shared" si="133"/>
        <v>44822</v>
      </c>
      <c r="N732" t="str">
        <f t="shared" ca="1" si="134"/>
        <v>Net 45</v>
      </c>
      <c r="O732">
        <f t="shared" ca="1" si="135"/>
        <v>45</v>
      </c>
      <c r="P732" s="1">
        <f t="shared" ca="1" si="136"/>
        <v>44867</v>
      </c>
      <c r="Q732" s="1">
        <f t="shared" ca="1" si="137"/>
        <v>44884</v>
      </c>
      <c r="R732">
        <f t="shared" ca="1" si="138"/>
        <v>62</v>
      </c>
      <c r="S732" t="str">
        <f t="shared" ca="1" si="139"/>
        <v>Late</v>
      </c>
      <c r="T732" t="str">
        <f t="shared" ca="1" si="140"/>
        <v>61-90</v>
      </c>
      <c r="U732">
        <f t="shared" ca="1" si="141"/>
        <v>17</v>
      </c>
      <c r="V732" t="str">
        <f t="shared" ca="1" si="142"/>
        <v>Inefficient</v>
      </c>
      <c r="W732">
        <f t="shared" si="143"/>
        <v>48298.239999999998</v>
      </c>
    </row>
    <row r="733" spans="1:23" x14ac:dyDescent="0.35">
      <c r="A733" t="s">
        <v>758</v>
      </c>
      <c r="B733" t="s">
        <v>17</v>
      </c>
      <c r="C733" s="1">
        <v>44645</v>
      </c>
      <c r="D733" s="1">
        <v>44662</v>
      </c>
      <c r="E733" t="s">
        <v>24</v>
      </c>
      <c r="F733" t="s">
        <v>33</v>
      </c>
      <c r="G733">
        <v>1350</v>
      </c>
      <c r="H733">
        <v>85.06</v>
      </c>
      <c r="I733">
        <v>82.34</v>
      </c>
      <c r="K733">
        <f t="shared" si="132"/>
        <v>1350</v>
      </c>
      <c r="L733" t="s">
        <v>27</v>
      </c>
      <c r="M733" s="1">
        <f t="shared" si="133"/>
        <v>44662</v>
      </c>
      <c r="N733" t="str">
        <f t="shared" ca="1" si="134"/>
        <v>Net 15</v>
      </c>
      <c r="O733">
        <f t="shared" ca="1" si="135"/>
        <v>15</v>
      </c>
      <c r="P733" s="1">
        <f t="shared" ca="1" si="136"/>
        <v>44677</v>
      </c>
      <c r="Q733" s="1">
        <f t="shared" ca="1" si="137"/>
        <v>44682</v>
      </c>
      <c r="R733">
        <f t="shared" ca="1" si="138"/>
        <v>20</v>
      </c>
      <c r="S733" t="str">
        <f t="shared" ca="1" si="139"/>
        <v>Late</v>
      </c>
      <c r="T733" t="str">
        <f t="shared" ca="1" si="140"/>
        <v>0-30</v>
      </c>
      <c r="U733">
        <f t="shared" ca="1" si="141"/>
        <v>5</v>
      </c>
      <c r="V733" t="str">
        <f t="shared" ca="1" si="142"/>
        <v>Inefficient</v>
      </c>
      <c r="W733">
        <f t="shared" si="143"/>
        <v>111159</v>
      </c>
    </row>
    <row r="734" spans="1:23" x14ac:dyDescent="0.35">
      <c r="A734" t="s">
        <v>759</v>
      </c>
      <c r="B734" t="s">
        <v>29</v>
      </c>
      <c r="C734" s="1">
        <v>45043</v>
      </c>
      <c r="D734" s="1">
        <v>45051</v>
      </c>
      <c r="E734" t="s">
        <v>24</v>
      </c>
      <c r="F734" t="s">
        <v>18</v>
      </c>
      <c r="G734">
        <v>1070</v>
      </c>
      <c r="H734">
        <v>44.4</v>
      </c>
      <c r="I734">
        <v>40.07</v>
      </c>
      <c r="J734">
        <v>26</v>
      </c>
      <c r="K734">
        <f t="shared" si="132"/>
        <v>1044</v>
      </c>
      <c r="L734" t="s">
        <v>15</v>
      </c>
      <c r="M734" s="1">
        <f t="shared" si="133"/>
        <v>45051</v>
      </c>
      <c r="N734" t="str">
        <f t="shared" ca="1" si="134"/>
        <v>Net 15</v>
      </c>
      <c r="O734">
        <f t="shared" ca="1" si="135"/>
        <v>15</v>
      </c>
      <c r="P734" s="1">
        <f t="shared" ca="1" si="136"/>
        <v>45066</v>
      </c>
      <c r="Q734" s="1">
        <f t="shared" ca="1" si="137"/>
        <v>45072</v>
      </c>
      <c r="R734">
        <f t="shared" ca="1" si="138"/>
        <v>21</v>
      </c>
      <c r="S734" t="str">
        <f t="shared" ca="1" si="139"/>
        <v>Late</v>
      </c>
      <c r="T734" t="str">
        <f t="shared" ca="1" si="140"/>
        <v>0-30</v>
      </c>
      <c r="U734">
        <f t="shared" ca="1" si="141"/>
        <v>6</v>
      </c>
      <c r="V734" t="str">
        <f t="shared" ca="1" si="142"/>
        <v>Inefficient</v>
      </c>
      <c r="W734">
        <f t="shared" si="143"/>
        <v>42874.9</v>
      </c>
    </row>
    <row r="735" spans="1:23" x14ac:dyDescent="0.35">
      <c r="A735" t="s">
        <v>760</v>
      </c>
      <c r="B735" t="s">
        <v>23</v>
      </c>
      <c r="C735" s="1">
        <v>44581</v>
      </c>
      <c r="D735" s="1">
        <v>44595</v>
      </c>
      <c r="E735" t="s">
        <v>24</v>
      </c>
      <c r="F735" t="s">
        <v>35</v>
      </c>
      <c r="G735">
        <v>810</v>
      </c>
      <c r="H735">
        <v>71.02</v>
      </c>
      <c r="I735">
        <v>66.8</v>
      </c>
      <c r="J735">
        <v>73</v>
      </c>
      <c r="K735">
        <f t="shared" si="132"/>
        <v>737</v>
      </c>
      <c r="L735" t="s">
        <v>15</v>
      </c>
      <c r="M735" s="1">
        <f t="shared" si="133"/>
        <v>44595</v>
      </c>
      <c r="N735" t="str">
        <f t="shared" ca="1" si="134"/>
        <v>Net 15</v>
      </c>
      <c r="O735">
        <f t="shared" ca="1" si="135"/>
        <v>15</v>
      </c>
      <c r="P735" s="1">
        <f t="shared" ca="1" si="136"/>
        <v>44610</v>
      </c>
      <c r="Q735" s="1">
        <f t="shared" ca="1" si="137"/>
        <v>44619</v>
      </c>
      <c r="R735">
        <f t="shared" ca="1" si="138"/>
        <v>24</v>
      </c>
      <c r="S735" t="str">
        <f t="shared" ca="1" si="139"/>
        <v>Late</v>
      </c>
      <c r="T735" t="str">
        <f t="shared" ca="1" si="140"/>
        <v>0-30</v>
      </c>
      <c r="U735">
        <f t="shared" ca="1" si="141"/>
        <v>9</v>
      </c>
      <c r="V735" t="str">
        <f t="shared" ca="1" si="142"/>
        <v>Inefficient</v>
      </c>
      <c r="W735">
        <f t="shared" si="143"/>
        <v>54108</v>
      </c>
    </row>
    <row r="736" spans="1:23" x14ac:dyDescent="0.35">
      <c r="A736" t="s">
        <v>761</v>
      </c>
      <c r="B736" t="s">
        <v>17</v>
      </c>
      <c r="C736" s="1">
        <v>45114</v>
      </c>
      <c r="D736" s="1">
        <v>45130</v>
      </c>
      <c r="E736" t="s">
        <v>24</v>
      </c>
      <c r="F736" t="s">
        <v>14</v>
      </c>
      <c r="G736">
        <v>725</v>
      </c>
      <c r="H736">
        <v>66.400000000000006</v>
      </c>
      <c r="I736">
        <v>62.1</v>
      </c>
      <c r="J736">
        <v>118</v>
      </c>
      <c r="K736">
        <f t="shared" si="132"/>
        <v>607</v>
      </c>
      <c r="L736" t="s">
        <v>15</v>
      </c>
      <c r="M736" s="1">
        <f t="shared" si="133"/>
        <v>45130</v>
      </c>
      <c r="N736" t="str">
        <f t="shared" ca="1" si="134"/>
        <v>Net 15</v>
      </c>
      <c r="O736">
        <f t="shared" ca="1" si="135"/>
        <v>15</v>
      </c>
      <c r="P736" s="1">
        <f t="shared" ca="1" si="136"/>
        <v>45145</v>
      </c>
      <c r="Q736" s="1">
        <f t="shared" ca="1" si="137"/>
        <v>45165</v>
      </c>
      <c r="R736">
        <f t="shared" ca="1" si="138"/>
        <v>35</v>
      </c>
      <c r="S736" t="str">
        <f t="shared" ca="1" si="139"/>
        <v>Late</v>
      </c>
      <c r="T736" t="str">
        <f t="shared" ca="1" si="140"/>
        <v>31-60</v>
      </c>
      <c r="U736">
        <f t="shared" ca="1" si="141"/>
        <v>20</v>
      </c>
      <c r="V736" t="str">
        <f t="shared" ca="1" si="142"/>
        <v>Inefficient</v>
      </c>
      <c r="W736">
        <f t="shared" si="143"/>
        <v>45022.5</v>
      </c>
    </row>
    <row r="737" spans="1:23" x14ac:dyDescent="0.35">
      <c r="A737" t="s">
        <v>762</v>
      </c>
      <c r="B737" t="s">
        <v>12</v>
      </c>
      <c r="C737" s="1">
        <v>44615</v>
      </c>
      <c r="D737" s="1">
        <v>44620</v>
      </c>
      <c r="E737" t="s">
        <v>39</v>
      </c>
      <c r="F737" t="s">
        <v>18</v>
      </c>
      <c r="G737">
        <v>1467</v>
      </c>
      <c r="H737">
        <v>34.200000000000003</v>
      </c>
      <c r="I737">
        <v>30.5</v>
      </c>
      <c r="J737">
        <v>25</v>
      </c>
      <c r="K737">
        <f t="shared" si="132"/>
        <v>1442</v>
      </c>
      <c r="L737" t="s">
        <v>15</v>
      </c>
      <c r="M737" s="1">
        <f t="shared" si="133"/>
        <v>44620</v>
      </c>
      <c r="N737" t="str">
        <f t="shared" ca="1" si="134"/>
        <v>Net 15</v>
      </c>
      <c r="O737">
        <f t="shared" ca="1" si="135"/>
        <v>15</v>
      </c>
      <c r="P737" s="1">
        <f t="shared" ca="1" si="136"/>
        <v>44635</v>
      </c>
      <c r="Q737" s="1">
        <f t="shared" ca="1" si="137"/>
        <v>44636</v>
      </c>
      <c r="R737">
        <f t="shared" ca="1" si="138"/>
        <v>16</v>
      </c>
      <c r="S737" t="str">
        <f t="shared" ca="1" si="139"/>
        <v>Late</v>
      </c>
      <c r="T737" t="str">
        <f t="shared" ca="1" si="140"/>
        <v>0-30</v>
      </c>
      <c r="U737">
        <f t="shared" ca="1" si="141"/>
        <v>1</v>
      </c>
      <c r="V737" t="str">
        <f t="shared" ca="1" si="142"/>
        <v>Inefficient</v>
      </c>
      <c r="W737">
        <f t="shared" si="143"/>
        <v>44743.5</v>
      </c>
    </row>
    <row r="738" spans="1:23" x14ac:dyDescent="0.35">
      <c r="A738" t="s">
        <v>763</v>
      </c>
      <c r="B738" t="s">
        <v>23</v>
      </c>
      <c r="C738" s="1">
        <v>44920</v>
      </c>
      <c r="D738" s="1">
        <v>44938</v>
      </c>
      <c r="E738" t="s">
        <v>24</v>
      </c>
      <c r="F738" t="s">
        <v>18</v>
      </c>
      <c r="G738">
        <v>1942</v>
      </c>
      <c r="H738">
        <v>93.98</v>
      </c>
      <c r="I738">
        <v>81.31</v>
      </c>
      <c r="J738">
        <v>198</v>
      </c>
      <c r="K738">
        <f t="shared" si="132"/>
        <v>1744</v>
      </c>
      <c r="L738" t="s">
        <v>15</v>
      </c>
      <c r="M738" s="1">
        <f t="shared" si="133"/>
        <v>44938</v>
      </c>
      <c r="N738" t="str">
        <f t="shared" ca="1" si="134"/>
        <v>Net 45</v>
      </c>
      <c r="O738">
        <f t="shared" ca="1" si="135"/>
        <v>45</v>
      </c>
      <c r="P738" s="1">
        <f t="shared" ca="1" si="136"/>
        <v>44983</v>
      </c>
      <c r="Q738" s="1">
        <f t="shared" ca="1" si="137"/>
        <v>44995</v>
      </c>
      <c r="R738">
        <f t="shared" ca="1" si="138"/>
        <v>57</v>
      </c>
      <c r="S738" t="str">
        <f t="shared" ca="1" si="139"/>
        <v>Late</v>
      </c>
      <c r="T738" t="str">
        <f t="shared" ca="1" si="140"/>
        <v>31-60</v>
      </c>
      <c r="U738">
        <f t="shared" ca="1" si="141"/>
        <v>12</v>
      </c>
      <c r="V738" t="str">
        <f t="shared" ca="1" si="142"/>
        <v>Inefficient</v>
      </c>
      <c r="W738">
        <f t="shared" si="143"/>
        <v>157904.02000000002</v>
      </c>
    </row>
    <row r="739" spans="1:23" x14ac:dyDescent="0.35">
      <c r="A739" t="s">
        <v>764</v>
      </c>
      <c r="B739" t="s">
        <v>20</v>
      </c>
      <c r="C739" s="1">
        <v>44791</v>
      </c>
      <c r="E739" t="s">
        <v>13</v>
      </c>
      <c r="F739" t="s">
        <v>18</v>
      </c>
      <c r="G739">
        <v>506</v>
      </c>
      <c r="H739">
        <v>84.63</v>
      </c>
      <c r="I739">
        <v>72.69</v>
      </c>
      <c r="J739">
        <v>20</v>
      </c>
      <c r="K739">
        <f t="shared" si="132"/>
        <v>486</v>
      </c>
      <c r="L739" t="s">
        <v>15</v>
      </c>
      <c r="M739" s="1">
        <f t="shared" si="133"/>
        <v>0</v>
      </c>
      <c r="N739" t="str">
        <f t="shared" ca="1" si="134"/>
        <v>Net 15</v>
      </c>
      <c r="O739">
        <f t="shared" ca="1" si="135"/>
        <v>15</v>
      </c>
      <c r="P739" s="1">
        <f t="shared" ca="1" si="136"/>
        <v>15</v>
      </c>
      <c r="Q739" s="1">
        <f t="shared" ca="1" si="137"/>
        <v>34</v>
      </c>
      <c r="R739">
        <f t="shared" ca="1" si="138"/>
        <v>34</v>
      </c>
      <c r="S739" t="str">
        <f t="shared" ca="1" si="139"/>
        <v>Late</v>
      </c>
      <c r="T739" t="str">
        <f t="shared" ca="1" si="140"/>
        <v>31-60</v>
      </c>
      <c r="U739">
        <f t="shared" ca="1" si="141"/>
        <v>19</v>
      </c>
      <c r="V739" t="str">
        <f t="shared" ca="1" si="142"/>
        <v>Inefficient</v>
      </c>
      <c r="W739">
        <f t="shared" si="143"/>
        <v>36781.14</v>
      </c>
    </row>
    <row r="740" spans="1:23" x14ac:dyDescent="0.35">
      <c r="A740" t="s">
        <v>765</v>
      </c>
      <c r="B740" t="s">
        <v>12</v>
      </c>
      <c r="C740" s="1">
        <v>45227</v>
      </c>
      <c r="D740" s="1">
        <v>45243</v>
      </c>
      <c r="E740" t="s">
        <v>21</v>
      </c>
      <c r="F740" t="s">
        <v>18</v>
      </c>
      <c r="G740">
        <v>969</v>
      </c>
      <c r="H740">
        <v>76.53</v>
      </c>
      <c r="I740">
        <v>75.64</v>
      </c>
      <c r="J740">
        <v>30</v>
      </c>
      <c r="K740">
        <f t="shared" si="132"/>
        <v>939</v>
      </c>
      <c r="L740" t="s">
        <v>15</v>
      </c>
      <c r="M740" s="1">
        <f t="shared" si="133"/>
        <v>45243</v>
      </c>
      <c r="N740" t="str">
        <f t="shared" ca="1" si="134"/>
        <v>Net 30</v>
      </c>
      <c r="O740">
        <f t="shared" ca="1" si="135"/>
        <v>30</v>
      </c>
      <c r="P740" s="1">
        <f t="shared" ca="1" si="136"/>
        <v>45273</v>
      </c>
      <c r="Q740" s="1">
        <f t="shared" ca="1" si="137"/>
        <v>45277</v>
      </c>
      <c r="R740">
        <f t="shared" ca="1" si="138"/>
        <v>34</v>
      </c>
      <c r="S740" t="str">
        <f t="shared" ca="1" si="139"/>
        <v>Late</v>
      </c>
      <c r="T740" t="str">
        <f t="shared" ca="1" si="140"/>
        <v>31-60</v>
      </c>
      <c r="U740">
        <f t="shared" ca="1" si="141"/>
        <v>4</v>
      </c>
      <c r="V740" t="str">
        <f t="shared" ca="1" si="142"/>
        <v>Inefficient</v>
      </c>
      <c r="W740">
        <f t="shared" si="143"/>
        <v>73295.16</v>
      </c>
    </row>
    <row r="741" spans="1:23" x14ac:dyDescent="0.35">
      <c r="A741" t="s">
        <v>766</v>
      </c>
      <c r="B741" t="s">
        <v>17</v>
      </c>
      <c r="C741" s="1">
        <v>44632</v>
      </c>
      <c r="D741" s="1">
        <v>44639</v>
      </c>
      <c r="E741" t="s">
        <v>21</v>
      </c>
      <c r="F741" t="s">
        <v>18</v>
      </c>
      <c r="G741">
        <v>241</v>
      </c>
      <c r="H741">
        <v>87.42</v>
      </c>
      <c r="I741">
        <v>82.15</v>
      </c>
      <c r="K741">
        <f t="shared" si="132"/>
        <v>241</v>
      </c>
      <c r="L741" t="s">
        <v>15</v>
      </c>
      <c r="M741" s="1">
        <f t="shared" si="133"/>
        <v>44639</v>
      </c>
      <c r="N741" t="str">
        <f t="shared" ca="1" si="134"/>
        <v>Net 30</v>
      </c>
      <c r="O741">
        <f t="shared" ca="1" si="135"/>
        <v>30</v>
      </c>
      <c r="P741" s="1">
        <f t="shared" ca="1" si="136"/>
        <v>44669</v>
      </c>
      <c r="Q741" s="1">
        <f t="shared" ca="1" si="137"/>
        <v>44670</v>
      </c>
      <c r="R741">
        <f t="shared" ca="1" si="138"/>
        <v>31</v>
      </c>
      <c r="S741" t="str">
        <f t="shared" ca="1" si="139"/>
        <v>Late</v>
      </c>
      <c r="T741" t="str">
        <f t="shared" ca="1" si="140"/>
        <v>31-60</v>
      </c>
      <c r="U741">
        <f t="shared" ca="1" si="141"/>
        <v>1</v>
      </c>
      <c r="V741" t="str">
        <f t="shared" ca="1" si="142"/>
        <v>Inefficient</v>
      </c>
      <c r="W741">
        <f t="shared" si="143"/>
        <v>19798.150000000001</v>
      </c>
    </row>
    <row r="742" spans="1:23" x14ac:dyDescent="0.35">
      <c r="A742" t="s">
        <v>767</v>
      </c>
      <c r="B742" t="s">
        <v>20</v>
      </c>
      <c r="C742" s="1">
        <v>45229</v>
      </c>
      <c r="D742" s="1">
        <v>45239</v>
      </c>
      <c r="E742" t="s">
        <v>26</v>
      </c>
      <c r="F742" t="s">
        <v>18</v>
      </c>
      <c r="G742">
        <v>788</v>
      </c>
      <c r="H742">
        <v>97.3</v>
      </c>
      <c r="I742">
        <v>94.44</v>
      </c>
      <c r="J742">
        <v>32</v>
      </c>
      <c r="K742">
        <f t="shared" si="132"/>
        <v>756</v>
      </c>
      <c r="L742" t="s">
        <v>15</v>
      </c>
      <c r="M742" s="1">
        <f t="shared" si="133"/>
        <v>45239</v>
      </c>
      <c r="N742" t="str">
        <f t="shared" ca="1" si="134"/>
        <v>Net 45</v>
      </c>
      <c r="O742">
        <f t="shared" ca="1" si="135"/>
        <v>45</v>
      </c>
      <c r="P742" s="1">
        <f t="shared" ca="1" si="136"/>
        <v>45284</v>
      </c>
      <c r="Q742" s="1">
        <f t="shared" ca="1" si="137"/>
        <v>45279</v>
      </c>
      <c r="R742">
        <f t="shared" ca="1" si="138"/>
        <v>40</v>
      </c>
      <c r="S742" t="str">
        <f t="shared" ca="1" si="139"/>
        <v>On Time</v>
      </c>
      <c r="T742" t="str">
        <f t="shared" ca="1" si="140"/>
        <v>31-60</v>
      </c>
      <c r="U742">
        <f t="shared" ca="1" si="141"/>
        <v>0</v>
      </c>
      <c r="V742" t="str">
        <f t="shared" ca="1" si="142"/>
        <v>Efficient</v>
      </c>
      <c r="W742">
        <f t="shared" si="143"/>
        <v>74418.720000000001</v>
      </c>
    </row>
    <row r="743" spans="1:23" x14ac:dyDescent="0.35">
      <c r="A743" t="s">
        <v>768</v>
      </c>
      <c r="B743" t="s">
        <v>20</v>
      </c>
      <c r="C743" s="1">
        <v>44603</v>
      </c>
      <c r="D743" s="1">
        <v>44605</v>
      </c>
      <c r="E743" t="s">
        <v>13</v>
      </c>
      <c r="F743" t="s">
        <v>18</v>
      </c>
      <c r="G743">
        <v>1762</v>
      </c>
      <c r="H743">
        <v>74.12</v>
      </c>
      <c r="I743">
        <v>65.709999999999994</v>
      </c>
      <c r="J743">
        <v>94</v>
      </c>
      <c r="K743">
        <f t="shared" si="132"/>
        <v>1668</v>
      </c>
      <c r="L743" t="s">
        <v>15</v>
      </c>
      <c r="M743" s="1">
        <f t="shared" si="133"/>
        <v>44605</v>
      </c>
      <c r="N743" t="str">
        <f t="shared" ca="1" si="134"/>
        <v>Net 15</v>
      </c>
      <c r="O743">
        <f t="shared" ca="1" si="135"/>
        <v>15</v>
      </c>
      <c r="P743" s="1">
        <f t="shared" ca="1" si="136"/>
        <v>44620</v>
      </c>
      <c r="Q743" s="1">
        <f t="shared" ca="1" si="137"/>
        <v>44626</v>
      </c>
      <c r="R743">
        <f t="shared" ca="1" si="138"/>
        <v>21</v>
      </c>
      <c r="S743" t="str">
        <f t="shared" ca="1" si="139"/>
        <v>Late</v>
      </c>
      <c r="T743" t="str">
        <f t="shared" ca="1" si="140"/>
        <v>0-30</v>
      </c>
      <c r="U743">
        <f t="shared" ca="1" si="141"/>
        <v>6</v>
      </c>
      <c r="V743" t="str">
        <f t="shared" ca="1" si="142"/>
        <v>Inefficient</v>
      </c>
      <c r="W743">
        <f t="shared" si="143"/>
        <v>115781.01999999999</v>
      </c>
    </row>
    <row r="744" spans="1:23" x14ac:dyDescent="0.35">
      <c r="A744" t="s">
        <v>769</v>
      </c>
      <c r="B744" t="s">
        <v>12</v>
      </c>
      <c r="C744" s="1">
        <v>44593</v>
      </c>
      <c r="E744" t="s">
        <v>26</v>
      </c>
      <c r="F744" t="s">
        <v>35</v>
      </c>
      <c r="G744">
        <v>1172</v>
      </c>
      <c r="H744">
        <v>85.76</v>
      </c>
      <c r="I744">
        <v>81.430000000000007</v>
      </c>
      <c r="J744">
        <v>25</v>
      </c>
      <c r="K744">
        <f t="shared" si="132"/>
        <v>1147</v>
      </c>
      <c r="L744" t="s">
        <v>15</v>
      </c>
      <c r="M744" s="1">
        <f t="shared" si="133"/>
        <v>0</v>
      </c>
      <c r="N744" t="str">
        <f t="shared" ca="1" si="134"/>
        <v>Net 45</v>
      </c>
      <c r="O744">
        <f t="shared" ca="1" si="135"/>
        <v>45</v>
      </c>
      <c r="P744" s="1">
        <f t="shared" ca="1" si="136"/>
        <v>45</v>
      </c>
      <c r="Q744" s="1">
        <f t="shared" ca="1" si="137"/>
        <v>64</v>
      </c>
      <c r="R744">
        <f t="shared" ca="1" si="138"/>
        <v>64</v>
      </c>
      <c r="S744" t="str">
        <f t="shared" ca="1" si="139"/>
        <v>Late</v>
      </c>
      <c r="T744" t="str">
        <f t="shared" ca="1" si="140"/>
        <v>61-90</v>
      </c>
      <c r="U744">
        <f t="shared" ca="1" si="141"/>
        <v>19</v>
      </c>
      <c r="V744" t="str">
        <f t="shared" ca="1" si="142"/>
        <v>Inefficient</v>
      </c>
      <c r="W744">
        <f t="shared" si="143"/>
        <v>95435.96</v>
      </c>
    </row>
    <row r="745" spans="1:23" x14ac:dyDescent="0.35">
      <c r="A745" t="s">
        <v>770</v>
      </c>
      <c r="B745" t="s">
        <v>17</v>
      </c>
      <c r="C745" s="1">
        <v>44815</v>
      </c>
      <c r="D745" s="1">
        <v>44834</v>
      </c>
      <c r="E745" t="s">
        <v>13</v>
      </c>
      <c r="F745" t="s">
        <v>18</v>
      </c>
      <c r="G745">
        <v>1621</v>
      </c>
      <c r="H745">
        <v>75.680000000000007</v>
      </c>
      <c r="I745">
        <v>73.78</v>
      </c>
      <c r="J745">
        <v>226</v>
      </c>
      <c r="K745">
        <f t="shared" si="132"/>
        <v>1395</v>
      </c>
      <c r="L745" t="s">
        <v>27</v>
      </c>
      <c r="M745" s="1">
        <f t="shared" si="133"/>
        <v>44834</v>
      </c>
      <c r="N745" t="str">
        <f t="shared" ca="1" si="134"/>
        <v>Net 15</v>
      </c>
      <c r="O745">
        <f t="shared" ca="1" si="135"/>
        <v>15</v>
      </c>
      <c r="P745" s="1">
        <f t="shared" ca="1" si="136"/>
        <v>44849</v>
      </c>
      <c r="Q745" s="1">
        <f t="shared" ca="1" si="137"/>
        <v>44860</v>
      </c>
      <c r="R745">
        <f t="shared" ca="1" si="138"/>
        <v>26</v>
      </c>
      <c r="S745" t="str">
        <f t="shared" ca="1" si="139"/>
        <v>Late</v>
      </c>
      <c r="T745" t="str">
        <f t="shared" ca="1" si="140"/>
        <v>0-30</v>
      </c>
      <c r="U745">
        <f t="shared" ca="1" si="141"/>
        <v>11</v>
      </c>
      <c r="V745" t="str">
        <f t="shared" ca="1" si="142"/>
        <v>Inefficient</v>
      </c>
      <c r="W745">
        <f t="shared" si="143"/>
        <v>119597.38</v>
      </c>
    </row>
    <row r="746" spans="1:23" x14ac:dyDescent="0.35">
      <c r="A746" t="s">
        <v>771</v>
      </c>
      <c r="B746" t="s">
        <v>12</v>
      </c>
      <c r="C746" s="1">
        <v>44766</v>
      </c>
      <c r="D746" s="1">
        <v>44768</v>
      </c>
      <c r="E746" t="s">
        <v>24</v>
      </c>
      <c r="F746" t="s">
        <v>18</v>
      </c>
      <c r="G746">
        <v>1027</v>
      </c>
      <c r="H746">
        <v>73.349999999999994</v>
      </c>
      <c r="I746">
        <v>65.42</v>
      </c>
      <c r="J746">
        <v>24</v>
      </c>
      <c r="K746">
        <f t="shared" si="132"/>
        <v>1003</v>
      </c>
      <c r="L746" t="s">
        <v>27</v>
      </c>
      <c r="M746" s="1">
        <f t="shared" si="133"/>
        <v>44768</v>
      </c>
      <c r="N746" t="str">
        <f t="shared" ca="1" si="134"/>
        <v>Net 15</v>
      </c>
      <c r="O746">
        <f t="shared" ca="1" si="135"/>
        <v>15</v>
      </c>
      <c r="P746" s="1">
        <f t="shared" ca="1" si="136"/>
        <v>44783</v>
      </c>
      <c r="Q746" s="1">
        <f t="shared" ca="1" si="137"/>
        <v>44794</v>
      </c>
      <c r="R746">
        <f t="shared" ca="1" si="138"/>
        <v>26</v>
      </c>
      <c r="S746" t="str">
        <f t="shared" ca="1" si="139"/>
        <v>Late</v>
      </c>
      <c r="T746" t="str">
        <f t="shared" ca="1" si="140"/>
        <v>0-30</v>
      </c>
      <c r="U746">
        <f t="shared" ca="1" si="141"/>
        <v>11</v>
      </c>
      <c r="V746" t="str">
        <f t="shared" ca="1" si="142"/>
        <v>Inefficient</v>
      </c>
      <c r="W746">
        <f t="shared" si="143"/>
        <v>67186.34</v>
      </c>
    </row>
    <row r="747" spans="1:23" x14ac:dyDescent="0.35">
      <c r="A747" t="s">
        <v>772</v>
      </c>
      <c r="B747" t="s">
        <v>23</v>
      </c>
      <c r="C747" s="1">
        <v>44582</v>
      </c>
      <c r="E747" t="s">
        <v>26</v>
      </c>
      <c r="F747" t="s">
        <v>18</v>
      </c>
      <c r="G747">
        <v>1058</v>
      </c>
      <c r="H747">
        <v>65.680000000000007</v>
      </c>
      <c r="I747">
        <v>57.21</v>
      </c>
      <c r="J747">
        <v>101</v>
      </c>
      <c r="K747">
        <f t="shared" si="132"/>
        <v>957</v>
      </c>
      <c r="L747" t="s">
        <v>15</v>
      </c>
      <c r="M747" s="1">
        <f t="shared" si="133"/>
        <v>0</v>
      </c>
      <c r="N747" t="str">
        <f t="shared" ca="1" si="134"/>
        <v>Net 45</v>
      </c>
      <c r="O747">
        <f t="shared" ca="1" si="135"/>
        <v>45</v>
      </c>
      <c r="P747" s="1">
        <f t="shared" ca="1" si="136"/>
        <v>45</v>
      </c>
      <c r="Q747" s="1">
        <f t="shared" ca="1" si="137"/>
        <v>51</v>
      </c>
      <c r="R747">
        <f t="shared" ca="1" si="138"/>
        <v>51</v>
      </c>
      <c r="S747" t="str">
        <f t="shared" ca="1" si="139"/>
        <v>Late</v>
      </c>
      <c r="T747" t="str">
        <f t="shared" ca="1" si="140"/>
        <v>31-60</v>
      </c>
      <c r="U747">
        <f t="shared" ca="1" si="141"/>
        <v>6</v>
      </c>
      <c r="V747" t="str">
        <f t="shared" ca="1" si="142"/>
        <v>Inefficient</v>
      </c>
      <c r="W747">
        <f t="shared" si="143"/>
        <v>60528.18</v>
      </c>
    </row>
    <row r="748" spans="1:23" x14ac:dyDescent="0.35">
      <c r="A748" t="s">
        <v>773</v>
      </c>
      <c r="B748" t="s">
        <v>23</v>
      </c>
      <c r="C748" s="1">
        <v>45198</v>
      </c>
      <c r="D748" s="1">
        <v>45204</v>
      </c>
      <c r="E748" t="s">
        <v>24</v>
      </c>
      <c r="F748" t="s">
        <v>18</v>
      </c>
      <c r="G748">
        <v>145</v>
      </c>
      <c r="H748">
        <v>85.52</v>
      </c>
      <c r="I748">
        <v>81.86</v>
      </c>
      <c r="J748">
        <v>11</v>
      </c>
      <c r="K748">
        <f t="shared" si="132"/>
        <v>134</v>
      </c>
      <c r="L748" t="s">
        <v>27</v>
      </c>
      <c r="M748" s="1">
        <f t="shared" si="133"/>
        <v>45204</v>
      </c>
      <c r="N748" t="str">
        <f t="shared" ca="1" si="134"/>
        <v>Net 30</v>
      </c>
      <c r="O748">
        <f t="shared" ca="1" si="135"/>
        <v>30</v>
      </c>
      <c r="P748" s="1">
        <f t="shared" ca="1" si="136"/>
        <v>45234</v>
      </c>
      <c r="Q748" s="1">
        <f t="shared" ca="1" si="137"/>
        <v>45242</v>
      </c>
      <c r="R748">
        <f t="shared" ca="1" si="138"/>
        <v>38</v>
      </c>
      <c r="S748" t="str">
        <f t="shared" ca="1" si="139"/>
        <v>Late</v>
      </c>
      <c r="T748" t="str">
        <f t="shared" ca="1" si="140"/>
        <v>31-60</v>
      </c>
      <c r="U748">
        <f t="shared" ca="1" si="141"/>
        <v>8</v>
      </c>
      <c r="V748" t="str">
        <f t="shared" ca="1" si="142"/>
        <v>Inefficient</v>
      </c>
      <c r="W748">
        <f t="shared" si="143"/>
        <v>11869.7</v>
      </c>
    </row>
    <row r="749" spans="1:23" x14ac:dyDescent="0.35">
      <c r="A749" t="s">
        <v>774</v>
      </c>
      <c r="B749" t="s">
        <v>29</v>
      </c>
      <c r="C749" s="1">
        <v>44718</v>
      </c>
      <c r="E749" t="s">
        <v>13</v>
      </c>
      <c r="F749" t="s">
        <v>18</v>
      </c>
      <c r="G749">
        <v>1737</v>
      </c>
      <c r="H749">
        <v>24.88</v>
      </c>
      <c r="I749">
        <v>24.28</v>
      </c>
      <c r="J749">
        <v>46</v>
      </c>
      <c r="K749">
        <f t="shared" si="132"/>
        <v>1691</v>
      </c>
      <c r="L749" t="s">
        <v>15</v>
      </c>
      <c r="M749" s="1">
        <f t="shared" si="133"/>
        <v>0</v>
      </c>
      <c r="N749" t="str">
        <f t="shared" ca="1" si="134"/>
        <v>Net 30</v>
      </c>
      <c r="O749">
        <f t="shared" ca="1" si="135"/>
        <v>30</v>
      </c>
      <c r="P749" s="1">
        <f t="shared" ca="1" si="136"/>
        <v>30</v>
      </c>
      <c r="Q749" s="1">
        <f t="shared" ca="1" si="137"/>
        <v>49</v>
      </c>
      <c r="R749">
        <f t="shared" ca="1" si="138"/>
        <v>49</v>
      </c>
      <c r="S749" t="str">
        <f t="shared" ca="1" si="139"/>
        <v>Late</v>
      </c>
      <c r="T749" t="str">
        <f t="shared" ca="1" si="140"/>
        <v>31-60</v>
      </c>
      <c r="U749">
        <f t="shared" ca="1" si="141"/>
        <v>19</v>
      </c>
      <c r="V749" t="str">
        <f t="shared" ca="1" si="142"/>
        <v>Inefficient</v>
      </c>
      <c r="W749">
        <f t="shared" si="143"/>
        <v>42174.36</v>
      </c>
    </row>
    <row r="750" spans="1:23" x14ac:dyDescent="0.35">
      <c r="A750" t="s">
        <v>775</v>
      </c>
      <c r="B750" t="s">
        <v>20</v>
      </c>
      <c r="C750" s="1">
        <v>44806</v>
      </c>
      <c r="D750" s="1">
        <v>44819</v>
      </c>
      <c r="E750" t="s">
        <v>39</v>
      </c>
      <c r="F750" t="s">
        <v>18</v>
      </c>
      <c r="G750">
        <v>712</v>
      </c>
      <c r="H750">
        <v>92.85</v>
      </c>
      <c r="I750">
        <v>89.39</v>
      </c>
      <c r="J750">
        <v>43</v>
      </c>
      <c r="K750">
        <f t="shared" si="132"/>
        <v>669</v>
      </c>
      <c r="L750" t="s">
        <v>15</v>
      </c>
      <c r="M750" s="1">
        <f t="shared" si="133"/>
        <v>44819</v>
      </c>
      <c r="N750" t="str">
        <f t="shared" ca="1" si="134"/>
        <v>Net 45</v>
      </c>
      <c r="O750">
        <f t="shared" ca="1" si="135"/>
        <v>45</v>
      </c>
      <c r="P750" s="1">
        <f t="shared" ca="1" si="136"/>
        <v>44864</v>
      </c>
      <c r="Q750" s="1">
        <f t="shared" ca="1" si="137"/>
        <v>44862</v>
      </c>
      <c r="R750">
        <f t="shared" ca="1" si="138"/>
        <v>43</v>
      </c>
      <c r="S750" t="str">
        <f t="shared" ca="1" si="139"/>
        <v>On Time</v>
      </c>
      <c r="T750" t="str">
        <f t="shared" ca="1" si="140"/>
        <v>31-60</v>
      </c>
      <c r="U750">
        <f t="shared" ca="1" si="141"/>
        <v>0</v>
      </c>
      <c r="V750" t="str">
        <f t="shared" ca="1" si="142"/>
        <v>Efficient</v>
      </c>
      <c r="W750">
        <f t="shared" si="143"/>
        <v>63645.68</v>
      </c>
    </row>
    <row r="751" spans="1:23" x14ac:dyDescent="0.35">
      <c r="A751" t="s">
        <v>776</v>
      </c>
      <c r="B751" t="s">
        <v>29</v>
      </c>
      <c r="C751" s="1">
        <v>44691</v>
      </c>
      <c r="D751" s="1">
        <v>44697</v>
      </c>
      <c r="E751" t="s">
        <v>39</v>
      </c>
      <c r="F751" t="s">
        <v>18</v>
      </c>
      <c r="G751">
        <v>1263</v>
      </c>
      <c r="H751">
        <v>90.24</v>
      </c>
      <c r="I751">
        <v>86.84</v>
      </c>
      <c r="J751">
        <v>28</v>
      </c>
      <c r="K751">
        <f t="shared" si="132"/>
        <v>1235</v>
      </c>
      <c r="L751" t="s">
        <v>15</v>
      </c>
      <c r="M751" s="1">
        <f t="shared" si="133"/>
        <v>44697</v>
      </c>
      <c r="N751" t="str">
        <f t="shared" ca="1" si="134"/>
        <v>Net 15</v>
      </c>
      <c r="O751">
        <f t="shared" ca="1" si="135"/>
        <v>15</v>
      </c>
      <c r="P751" s="1">
        <f t="shared" ca="1" si="136"/>
        <v>44712</v>
      </c>
      <c r="Q751" s="1">
        <f t="shared" ca="1" si="137"/>
        <v>44712</v>
      </c>
      <c r="R751">
        <f t="shared" ca="1" si="138"/>
        <v>15</v>
      </c>
      <c r="S751" t="str">
        <f t="shared" ca="1" si="139"/>
        <v>On Time</v>
      </c>
      <c r="T751" t="str">
        <f t="shared" ca="1" si="140"/>
        <v>0-30</v>
      </c>
      <c r="U751">
        <f t="shared" ca="1" si="141"/>
        <v>0</v>
      </c>
      <c r="V751" t="str">
        <f t="shared" ca="1" si="142"/>
        <v>Efficient</v>
      </c>
      <c r="W751">
        <f t="shared" si="143"/>
        <v>109678.92</v>
      </c>
    </row>
    <row r="752" spans="1:23" x14ac:dyDescent="0.35">
      <c r="A752" t="s">
        <v>777</v>
      </c>
      <c r="B752" t="s">
        <v>17</v>
      </c>
      <c r="C752" s="1">
        <v>45046</v>
      </c>
      <c r="E752" t="s">
        <v>39</v>
      </c>
      <c r="F752" t="s">
        <v>18</v>
      </c>
      <c r="G752">
        <v>1809</v>
      </c>
      <c r="H752">
        <v>13.58</v>
      </c>
      <c r="I752">
        <v>12.68</v>
      </c>
      <c r="K752">
        <f t="shared" si="132"/>
        <v>1809</v>
      </c>
      <c r="L752" t="s">
        <v>27</v>
      </c>
      <c r="M752" s="1">
        <f t="shared" si="133"/>
        <v>0</v>
      </c>
      <c r="N752" t="str">
        <f t="shared" ca="1" si="134"/>
        <v>Net 45</v>
      </c>
      <c r="O752">
        <f t="shared" ca="1" si="135"/>
        <v>45</v>
      </c>
      <c r="P752" s="1">
        <f t="shared" ca="1" si="136"/>
        <v>45</v>
      </c>
      <c r="Q752" s="1">
        <f t="shared" ca="1" si="137"/>
        <v>47</v>
      </c>
      <c r="R752">
        <f t="shared" ca="1" si="138"/>
        <v>47</v>
      </c>
      <c r="S752" t="str">
        <f t="shared" ca="1" si="139"/>
        <v>Late</v>
      </c>
      <c r="T752" t="str">
        <f t="shared" ca="1" si="140"/>
        <v>31-60</v>
      </c>
      <c r="U752">
        <f t="shared" ca="1" si="141"/>
        <v>2</v>
      </c>
      <c r="V752" t="str">
        <f t="shared" ca="1" si="142"/>
        <v>Inefficient</v>
      </c>
      <c r="W752">
        <f t="shared" si="143"/>
        <v>22938.12</v>
      </c>
    </row>
    <row r="753" spans="1:23" x14ac:dyDescent="0.35">
      <c r="A753" t="s">
        <v>778</v>
      </c>
      <c r="B753" t="s">
        <v>23</v>
      </c>
      <c r="C753" s="1">
        <v>45247</v>
      </c>
      <c r="E753" t="s">
        <v>39</v>
      </c>
      <c r="F753" t="s">
        <v>14</v>
      </c>
      <c r="G753">
        <v>86</v>
      </c>
      <c r="H753">
        <v>93.6</v>
      </c>
      <c r="I753">
        <v>88.22</v>
      </c>
      <c r="J753">
        <v>5</v>
      </c>
      <c r="K753">
        <f t="shared" si="132"/>
        <v>81</v>
      </c>
      <c r="L753" t="s">
        <v>15</v>
      </c>
      <c r="M753" s="1">
        <f t="shared" si="133"/>
        <v>0</v>
      </c>
      <c r="N753" t="str">
        <f t="shared" ca="1" si="134"/>
        <v>Net 15</v>
      </c>
      <c r="O753">
        <f t="shared" ca="1" si="135"/>
        <v>15</v>
      </c>
      <c r="P753" s="1">
        <f t="shared" ca="1" si="136"/>
        <v>15</v>
      </c>
      <c r="Q753" s="1">
        <f t="shared" ca="1" si="137"/>
        <v>30</v>
      </c>
      <c r="R753">
        <f t="shared" ca="1" si="138"/>
        <v>30</v>
      </c>
      <c r="S753" t="str">
        <f t="shared" ca="1" si="139"/>
        <v>Late</v>
      </c>
      <c r="T753" t="str">
        <f t="shared" ca="1" si="140"/>
        <v>0-30</v>
      </c>
      <c r="U753">
        <f t="shared" ca="1" si="141"/>
        <v>15</v>
      </c>
      <c r="V753" t="str">
        <f t="shared" ca="1" si="142"/>
        <v>Inefficient</v>
      </c>
      <c r="W753">
        <f t="shared" si="143"/>
        <v>7586.92</v>
      </c>
    </row>
    <row r="754" spans="1:23" x14ac:dyDescent="0.35">
      <c r="A754" t="s">
        <v>779</v>
      </c>
      <c r="B754" t="s">
        <v>29</v>
      </c>
      <c r="C754" s="1">
        <v>44679</v>
      </c>
      <c r="E754" t="s">
        <v>21</v>
      </c>
      <c r="F754" t="s">
        <v>18</v>
      </c>
      <c r="G754">
        <v>1853</v>
      </c>
      <c r="H754">
        <v>21.92</v>
      </c>
      <c r="I754">
        <v>20.72</v>
      </c>
      <c r="K754">
        <f t="shared" si="132"/>
        <v>1853</v>
      </c>
      <c r="L754" t="s">
        <v>15</v>
      </c>
      <c r="M754" s="1">
        <f t="shared" si="133"/>
        <v>0</v>
      </c>
      <c r="N754" t="str">
        <f t="shared" ca="1" si="134"/>
        <v>Net 30</v>
      </c>
      <c r="O754">
        <f t="shared" ca="1" si="135"/>
        <v>30</v>
      </c>
      <c r="P754" s="1">
        <f t="shared" ca="1" si="136"/>
        <v>30</v>
      </c>
      <c r="Q754" s="1">
        <f t="shared" ca="1" si="137"/>
        <v>34</v>
      </c>
      <c r="R754">
        <f t="shared" ca="1" si="138"/>
        <v>34</v>
      </c>
      <c r="S754" t="str">
        <f t="shared" ca="1" si="139"/>
        <v>Late</v>
      </c>
      <c r="T754" t="str">
        <f t="shared" ca="1" si="140"/>
        <v>31-60</v>
      </c>
      <c r="U754">
        <f t="shared" ca="1" si="141"/>
        <v>4</v>
      </c>
      <c r="V754" t="str">
        <f t="shared" ca="1" si="142"/>
        <v>Inefficient</v>
      </c>
      <c r="W754">
        <f t="shared" si="143"/>
        <v>38394.159999999996</v>
      </c>
    </row>
    <row r="755" spans="1:23" x14ac:dyDescent="0.35">
      <c r="A755" t="s">
        <v>780</v>
      </c>
      <c r="B755" t="s">
        <v>23</v>
      </c>
      <c r="C755" s="1">
        <v>45139</v>
      </c>
      <c r="D755" s="1">
        <v>45140</v>
      </c>
      <c r="E755" t="s">
        <v>39</v>
      </c>
      <c r="F755" t="s">
        <v>18</v>
      </c>
      <c r="G755">
        <v>1442</v>
      </c>
      <c r="H755">
        <v>43.98</v>
      </c>
      <c r="I755">
        <v>41.82</v>
      </c>
      <c r="J755">
        <v>140</v>
      </c>
      <c r="K755">
        <f t="shared" si="132"/>
        <v>1302</v>
      </c>
      <c r="L755" t="s">
        <v>27</v>
      </c>
      <c r="M755" s="1">
        <f t="shared" si="133"/>
        <v>45140</v>
      </c>
      <c r="N755" t="str">
        <f t="shared" ca="1" si="134"/>
        <v>Net 15</v>
      </c>
      <c r="O755">
        <f t="shared" ca="1" si="135"/>
        <v>15</v>
      </c>
      <c r="P755" s="1">
        <f t="shared" ca="1" si="136"/>
        <v>45155</v>
      </c>
      <c r="Q755" s="1">
        <f t="shared" ca="1" si="137"/>
        <v>45153</v>
      </c>
      <c r="R755">
        <f t="shared" ca="1" si="138"/>
        <v>13</v>
      </c>
      <c r="S755" t="str">
        <f t="shared" ca="1" si="139"/>
        <v>On Time</v>
      </c>
      <c r="T755" t="str">
        <f t="shared" ca="1" si="140"/>
        <v>0-30</v>
      </c>
      <c r="U755">
        <f t="shared" ca="1" si="141"/>
        <v>0</v>
      </c>
      <c r="V755" t="str">
        <f t="shared" ca="1" si="142"/>
        <v>Efficient</v>
      </c>
      <c r="W755">
        <f t="shared" si="143"/>
        <v>60304.44</v>
      </c>
    </row>
    <row r="756" spans="1:23" x14ac:dyDescent="0.35">
      <c r="A756" t="s">
        <v>781</v>
      </c>
      <c r="B756" t="s">
        <v>23</v>
      </c>
      <c r="C756" s="1">
        <v>44785</v>
      </c>
      <c r="D756" s="1">
        <v>44805</v>
      </c>
      <c r="E756" t="s">
        <v>13</v>
      </c>
      <c r="F756" t="s">
        <v>35</v>
      </c>
      <c r="G756">
        <v>1768</v>
      </c>
      <c r="H756">
        <v>79.61</v>
      </c>
      <c r="I756">
        <v>74.97</v>
      </c>
      <c r="J756">
        <v>207</v>
      </c>
      <c r="K756">
        <f t="shared" si="132"/>
        <v>1561</v>
      </c>
      <c r="L756" t="s">
        <v>27</v>
      </c>
      <c r="M756" s="1">
        <f t="shared" si="133"/>
        <v>44805</v>
      </c>
      <c r="N756" t="str">
        <f t="shared" ca="1" si="134"/>
        <v>Net 45</v>
      </c>
      <c r="O756">
        <f t="shared" ca="1" si="135"/>
        <v>45</v>
      </c>
      <c r="P756" s="1">
        <f t="shared" ca="1" si="136"/>
        <v>44850</v>
      </c>
      <c r="Q756" s="1">
        <f t="shared" ca="1" si="137"/>
        <v>44851</v>
      </c>
      <c r="R756">
        <f t="shared" ca="1" si="138"/>
        <v>46</v>
      </c>
      <c r="S756" t="str">
        <f t="shared" ca="1" si="139"/>
        <v>Late</v>
      </c>
      <c r="T756" t="str">
        <f t="shared" ca="1" si="140"/>
        <v>31-60</v>
      </c>
      <c r="U756">
        <f t="shared" ca="1" si="141"/>
        <v>1</v>
      </c>
      <c r="V756" t="str">
        <f t="shared" ca="1" si="142"/>
        <v>Inefficient</v>
      </c>
      <c r="W756">
        <f t="shared" si="143"/>
        <v>132546.96</v>
      </c>
    </row>
    <row r="757" spans="1:23" x14ac:dyDescent="0.35">
      <c r="A757" t="s">
        <v>782</v>
      </c>
      <c r="B757" t="s">
        <v>23</v>
      </c>
      <c r="C757" s="1">
        <v>45038</v>
      </c>
      <c r="D757" s="1">
        <v>45049</v>
      </c>
      <c r="E757" t="s">
        <v>39</v>
      </c>
      <c r="F757" t="s">
        <v>33</v>
      </c>
      <c r="G757">
        <v>1598</v>
      </c>
      <c r="H757">
        <v>26.3</v>
      </c>
      <c r="I757">
        <v>26.03</v>
      </c>
      <c r="J757">
        <v>154</v>
      </c>
      <c r="K757">
        <f t="shared" si="132"/>
        <v>1444</v>
      </c>
      <c r="L757" t="s">
        <v>27</v>
      </c>
      <c r="M757" s="1">
        <f t="shared" si="133"/>
        <v>45049</v>
      </c>
      <c r="N757" t="str">
        <f t="shared" ca="1" si="134"/>
        <v>Net 45</v>
      </c>
      <c r="O757">
        <f t="shared" ca="1" si="135"/>
        <v>45</v>
      </c>
      <c r="P757" s="1">
        <f t="shared" ca="1" si="136"/>
        <v>45094</v>
      </c>
      <c r="Q757" s="1">
        <f t="shared" ca="1" si="137"/>
        <v>45089</v>
      </c>
      <c r="R757">
        <f t="shared" ca="1" si="138"/>
        <v>40</v>
      </c>
      <c r="S757" t="str">
        <f t="shared" ca="1" si="139"/>
        <v>On Time</v>
      </c>
      <c r="T757" t="str">
        <f t="shared" ca="1" si="140"/>
        <v>31-60</v>
      </c>
      <c r="U757">
        <f t="shared" ca="1" si="141"/>
        <v>0</v>
      </c>
      <c r="V757" t="str">
        <f t="shared" ca="1" si="142"/>
        <v>Efficient</v>
      </c>
      <c r="W757">
        <f t="shared" si="143"/>
        <v>41595.94</v>
      </c>
    </row>
    <row r="758" spans="1:23" x14ac:dyDescent="0.35">
      <c r="A758" t="s">
        <v>783</v>
      </c>
      <c r="B758" t="s">
        <v>12</v>
      </c>
      <c r="C758" s="1">
        <v>45278</v>
      </c>
      <c r="D758" s="1">
        <v>45296</v>
      </c>
      <c r="E758" t="s">
        <v>21</v>
      </c>
      <c r="F758" t="s">
        <v>14</v>
      </c>
      <c r="G758">
        <v>328</v>
      </c>
      <c r="H758">
        <v>93.23</v>
      </c>
      <c r="I758">
        <v>82.63</v>
      </c>
      <c r="J758">
        <v>6</v>
      </c>
      <c r="K758">
        <f t="shared" si="132"/>
        <v>322</v>
      </c>
      <c r="L758" t="s">
        <v>15</v>
      </c>
      <c r="M758" s="1">
        <f t="shared" si="133"/>
        <v>45296</v>
      </c>
      <c r="N758" t="str">
        <f t="shared" ca="1" si="134"/>
        <v>Net 15</v>
      </c>
      <c r="O758">
        <f t="shared" ca="1" si="135"/>
        <v>15</v>
      </c>
      <c r="P758" s="1">
        <f t="shared" ca="1" si="136"/>
        <v>45311</v>
      </c>
      <c r="Q758" s="1">
        <f t="shared" ca="1" si="137"/>
        <v>45321</v>
      </c>
      <c r="R758">
        <f t="shared" ca="1" si="138"/>
        <v>25</v>
      </c>
      <c r="S758" t="str">
        <f t="shared" ca="1" si="139"/>
        <v>Late</v>
      </c>
      <c r="T758" t="str">
        <f t="shared" ca="1" si="140"/>
        <v>0-30</v>
      </c>
      <c r="U758">
        <f t="shared" ca="1" si="141"/>
        <v>10</v>
      </c>
      <c r="V758" t="str">
        <f t="shared" ca="1" si="142"/>
        <v>Inefficient</v>
      </c>
      <c r="W758">
        <f t="shared" si="143"/>
        <v>27102.639999999999</v>
      </c>
    </row>
    <row r="759" spans="1:23" x14ac:dyDescent="0.35">
      <c r="A759" t="s">
        <v>784</v>
      </c>
      <c r="B759" t="s">
        <v>29</v>
      </c>
      <c r="C759" s="1">
        <v>44824</v>
      </c>
      <c r="D759" s="1">
        <v>44829</v>
      </c>
      <c r="E759" t="s">
        <v>24</v>
      </c>
      <c r="F759" t="s">
        <v>18</v>
      </c>
      <c r="G759">
        <v>266</v>
      </c>
      <c r="H759">
        <v>88.29</v>
      </c>
      <c r="I759">
        <v>80.22</v>
      </c>
      <c r="J759">
        <v>4</v>
      </c>
      <c r="K759">
        <f t="shared" si="132"/>
        <v>262</v>
      </c>
      <c r="L759" t="s">
        <v>15</v>
      </c>
      <c r="M759" s="1">
        <f t="shared" si="133"/>
        <v>44829</v>
      </c>
      <c r="N759" t="str">
        <f t="shared" ca="1" si="134"/>
        <v>Net 15</v>
      </c>
      <c r="O759">
        <f t="shared" ca="1" si="135"/>
        <v>15</v>
      </c>
      <c r="P759" s="1">
        <f t="shared" ca="1" si="136"/>
        <v>44844</v>
      </c>
      <c r="Q759" s="1">
        <f t="shared" ca="1" si="137"/>
        <v>44862</v>
      </c>
      <c r="R759">
        <f t="shared" ca="1" si="138"/>
        <v>33</v>
      </c>
      <c r="S759" t="str">
        <f t="shared" ca="1" si="139"/>
        <v>Late</v>
      </c>
      <c r="T759" t="str">
        <f t="shared" ca="1" si="140"/>
        <v>31-60</v>
      </c>
      <c r="U759">
        <f t="shared" ca="1" si="141"/>
        <v>18</v>
      </c>
      <c r="V759" t="str">
        <f t="shared" ca="1" si="142"/>
        <v>Inefficient</v>
      </c>
      <c r="W759">
        <f t="shared" si="143"/>
        <v>21338.52</v>
      </c>
    </row>
    <row r="760" spans="1:23" x14ac:dyDescent="0.35">
      <c r="A760" t="s">
        <v>785</v>
      </c>
      <c r="B760" t="s">
        <v>20</v>
      </c>
      <c r="C760" s="1">
        <v>44939</v>
      </c>
      <c r="D760" s="1">
        <v>44954</v>
      </c>
      <c r="E760" t="s">
        <v>26</v>
      </c>
      <c r="F760" t="s">
        <v>18</v>
      </c>
      <c r="G760">
        <v>916</v>
      </c>
      <c r="H760">
        <v>59.01</v>
      </c>
      <c r="I760">
        <v>53.37</v>
      </c>
      <c r="J760">
        <v>47</v>
      </c>
      <c r="K760">
        <f t="shared" si="132"/>
        <v>869</v>
      </c>
      <c r="L760" t="s">
        <v>15</v>
      </c>
      <c r="M760" s="1">
        <f t="shared" si="133"/>
        <v>44954</v>
      </c>
      <c r="N760" t="str">
        <f t="shared" ca="1" si="134"/>
        <v>Net 45</v>
      </c>
      <c r="O760">
        <f t="shared" ca="1" si="135"/>
        <v>45</v>
      </c>
      <c r="P760" s="1">
        <f t="shared" ca="1" si="136"/>
        <v>44999</v>
      </c>
      <c r="Q760" s="1">
        <f t="shared" ca="1" si="137"/>
        <v>44997</v>
      </c>
      <c r="R760">
        <f t="shared" ca="1" si="138"/>
        <v>43</v>
      </c>
      <c r="S760" t="str">
        <f t="shared" ca="1" si="139"/>
        <v>On Time</v>
      </c>
      <c r="T760" t="str">
        <f t="shared" ca="1" si="140"/>
        <v>31-60</v>
      </c>
      <c r="U760">
        <f t="shared" ca="1" si="141"/>
        <v>0</v>
      </c>
      <c r="V760" t="str">
        <f t="shared" ca="1" si="142"/>
        <v>Efficient</v>
      </c>
      <c r="W760">
        <f t="shared" si="143"/>
        <v>48886.92</v>
      </c>
    </row>
    <row r="761" spans="1:23" x14ac:dyDescent="0.35">
      <c r="A761" t="s">
        <v>786</v>
      </c>
      <c r="B761" t="s">
        <v>29</v>
      </c>
      <c r="C761" s="1">
        <v>44733</v>
      </c>
      <c r="D761" s="1">
        <v>44737</v>
      </c>
      <c r="E761" t="s">
        <v>24</v>
      </c>
      <c r="F761" t="s">
        <v>14</v>
      </c>
      <c r="G761">
        <v>922</v>
      </c>
      <c r="H761">
        <v>10.84</v>
      </c>
      <c r="I761">
        <v>9.27</v>
      </c>
      <c r="J761">
        <v>29</v>
      </c>
      <c r="K761">
        <f t="shared" si="132"/>
        <v>893</v>
      </c>
      <c r="L761" t="s">
        <v>15</v>
      </c>
      <c r="M761" s="1">
        <f t="shared" si="133"/>
        <v>44737</v>
      </c>
      <c r="N761" t="str">
        <f t="shared" ca="1" si="134"/>
        <v>Net 45</v>
      </c>
      <c r="O761">
        <f t="shared" ca="1" si="135"/>
        <v>45</v>
      </c>
      <c r="P761" s="1">
        <f t="shared" ca="1" si="136"/>
        <v>44782</v>
      </c>
      <c r="Q761" s="1">
        <f t="shared" ca="1" si="137"/>
        <v>44801</v>
      </c>
      <c r="R761">
        <f t="shared" ca="1" si="138"/>
        <v>64</v>
      </c>
      <c r="S761" t="str">
        <f t="shared" ca="1" si="139"/>
        <v>Late</v>
      </c>
      <c r="T761" t="str">
        <f t="shared" ca="1" si="140"/>
        <v>61-90</v>
      </c>
      <c r="U761">
        <f t="shared" ca="1" si="141"/>
        <v>19</v>
      </c>
      <c r="V761" t="str">
        <f t="shared" ca="1" si="142"/>
        <v>Inefficient</v>
      </c>
      <c r="W761">
        <f t="shared" si="143"/>
        <v>8546.94</v>
      </c>
    </row>
    <row r="762" spans="1:23" x14ac:dyDescent="0.35">
      <c r="A762" t="s">
        <v>787</v>
      </c>
      <c r="B762" t="s">
        <v>20</v>
      </c>
      <c r="C762" s="1">
        <v>45182</v>
      </c>
      <c r="D762" s="1">
        <v>45197</v>
      </c>
      <c r="E762" t="s">
        <v>24</v>
      </c>
      <c r="F762" t="s">
        <v>18</v>
      </c>
      <c r="G762">
        <v>1871</v>
      </c>
      <c r="H762">
        <v>39.42</v>
      </c>
      <c r="I762">
        <v>37.409999999999997</v>
      </c>
      <c r="J762">
        <v>101</v>
      </c>
      <c r="K762">
        <f t="shared" si="132"/>
        <v>1770</v>
      </c>
      <c r="L762" t="s">
        <v>27</v>
      </c>
      <c r="M762" s="1">
        <f t="shared" si="133"/>
        <v>45197</v>
      </c>
      <c r="N762" t="str">
        <f t="shared" ca="1" si="134"/>
        <v>Net 15</v>
      </c>
      <c r="O762">
        <f t="shared" ca="1" si="135"/>
        <v>15</v>
      </c>
      <c r="P762" s="1">
        <f t="shared" ca="1" si="136"/>
        <v>45212</v>
      </c>
      <c r="Q762" s="1">
        <f t="shared" ca="1" si="137"/>
        <v>45223</v>
      </c>
      <c r="R762">
        <f t="shared" ca="1" si="138"/>
        <v>26</v>
      </c>
      <c r="S762" t="str">
        <f t="shared" ca="1" si="139"/>
        <v>Late</v>
      </c>
      <c r="T762" t="str">
        <f t="shared" ca="1" si="140"/>
        <v>0-30</v>
      </c>
      <c r="U762">
        <f t="shared" ca="1" si="141"/>
        <v>11</v>
      </c>
      <c r="V762" t="str">
        <f t="shared" ca="1" si="142"/>
        <v>Inefficient</v>
      </c>
      <c r="W762">
        <f t="shared" si="143"/>
        <v>69994.11</v>
      </c>
    </row>
    <row r="763" spans="1:23" x14ac:dyDescent="0.35">
      <c r="A763" t="s">
        <v>788</v>
      </c>
      <c r="B763" t="s">
        <v>29</v>
      </c>
      <c r="C763" s="1">
        <v>45183</v>
      </c>
      <c r="D763" s="1">
        <v>45189</v>
      </c>
      <c r="E763" t="s">
        <v>26</v>
      </c>
      <c r="F763" t="s">
        <v>18</v>
      </c>
      <c r="G763">
        <v>1346</v>
      </c>
      <c r="H763">
        <v>72.08</v>
      </c>
      <c r="I763">
        <v>67.040000000000006</v>
      </c>
      <c r="J763">
        <v>38</v>
      </c>
      <c r="K763">
        <f t="shared" si="132"/>
        <v>1308</v>
      </c>
      <c r="L763" t="s">
        <v>15</v>
      </c>
      <c r="M763" s="1">
        <f t="shared" si="133"/>
        <v>45189</v>
      </c>
      <c r="N763" t="str">
        <f t="shared" ca="1" si="134"/>
        <v>Net 45</v>
      </c>
      <c r="O763">
        <f t="shared" ca="1" si="135"/>
        <v>45</v>
      </c>
      <c r="P763" s="1">
        <f t="shared" ca="1" si="136"/>
        <v>45234</v>
      </c>
      <c r="Q763" s="1">
        <f t="shared" ca="1" si="137"/>
        <v>45240</v>
      </c>
      <c r="R763">
        <f t="shared" ca="1" si="138"/>
        <v>51</v>
      </c>
      <c r="S763" t="str">
        <f t="shared" ca="1" si="139"/>
        <v>Late</v>
      </c>
      <c r="T763" t="str">
        <f t="shared" ca="1" si="140"/>
        <v>31-60</v>
      </c>
      <c r="U763">
        <f t="shared" ca="1" si="141"/>
        <v>6</v>
      </c>
      <c r="V763" t="str">
        <f t="shared" ca="1" si="142"/>
        <v>Inefficient</v>
      </c>
      <c r="W763">
        <f t="shared" si="143"/>
        <v>90235.840000000011</v>
      </c>
    </row>
    <row r="764" spans="1:23" x14ac:dyDescent="0.35">
      <c r="A764" t="s">
        <v>789</v>
      </c>
      <c r="B764" t="s">
        <v>29</v>
      </c>
      <c r="C764" s="1">
        <v>44679</v>
      </c>
      <c r="D764" s="1">
        <v>44690</v>
      </c>
      <c r="E764" t="s">
        <v>39</v>
      </c>
      <c r="F764" t="s">
        <v>18</v>
      </c>
      <c r="G764">
        <v>1954</v>
      </c>
      <c r="H764">
        <v>99.78</v>
      </c>
      <c r="I764">
        <v>87.47</v>
      </c>
      <c r="J764">
        <v>57</v>
      </c>
      <c r="K764">
        <f t="shared" si="132"/>
        <v>1897</v>
      </c>
      <c r="L764" t="s">
        <v>15</v>
      </c>
      <c r="M764" s="1">
        <f t="shared" si="133"/>
        <v>44690</v>
      </c>
      <c r="N764" t="str">
        <f t="shared" ca="1" si="134"/>
        <v>Net 30</v>
      </c>
      <c r="O764">
        <f t="shared" ca="1" si="135"/>
        <v>30</v>
      </c>
      <c r="P764" s="1">
        <f t="shared" ca="1" si="136"/>
        <v>44720</v>
      </c>
      <c r="Q764" s="1">
        <f t="shared" ca="1" si="137"/>
        <v>44731</v>
      </c>
      <c r="R764">
        <f t="shared" ca="1" si="138"/>
        <v>41</v>
      </c>
      <c r="S764" t="str">
        <f t="shared" ca="1" si="139"/>
        <v>Late</v>
      </c>
      <c r="T764" t="str">
        <f t="shared" ca="1" si="140"/>
        <v>31-60</v>
      </c>
      <c r="U764">
        <f t="shared" ca="1" si="141"/>
        <v>11</v>
      </c>
      <c r="V764" t="str">
        <f t="shared" ca="1" si="142"/>
        <v>Inefficient</v>
      </c>
      <c r="W764">
        <f t="shared" si="143"/>
        <v>170916.38</v>
      </c>
    </row>
    <row r="765" spans="1:23" x14ac:dyDescent="0.35">
      <c r="A765" t="s">
        <v>790</v>
      </c>
      <c r="B765" t="s">
        <v>23</v>
      </c>
      <c r="C765" s="1">
        <v>44729</v>
      </c>
      <c r="D765" s="1">
        <v>44748</v>
      </c>
      <c r="E765" t="s">
        <v>39</v>
      </c>
      <c r="F765" t="s">
        <v>18</v>
      </c>
      <c r="G765">
        <v>111</v>
      </c>
      <c r="H765">
        <v>68.53</v>
      </c>
      <c r="I765">
        <v>65.22</v>
      </c>
      <c r="J765">
        <v>11</v>
      </c>
      <c r="K765">
        <f t="shared" si="132"/>
        <v>100</v>
      </c>
      <c r="L765" t="s">
        <v>15</v>
      </c>
      <c r="M765" s="1">
        <f t="shared" si="133"/>
        <v>44748</v>
      </c>
      <c r="N765" t="str">
        <f t="shared" ca="1" si="134"/>
        <v>Net 45</v>
      </c>
      <c r="O765">
        <f t="shared" ca="1" si="135"/>
        <v>45</v>
      </c>
      <c r="P765" s="1">
        <f t="shared" ca="1" si="136"/>
        <v>44793</v>
      </c>
      <c r="Q765" s="1">
        <f t="shared" ca="1" si="137"/>
        <v>44792</v>
      </c>
      <c r="R765">
        <f t="shared" ca="1" si="138"/>
        <v>44</v>
      </c>
      <c r="S765" t="str">
        <f t="shared" ca="1" si="139"/>
        <v>On Time</v>
      </c>
      <c r="T765" t="str">
        <f t="shared" ca="1" si="140"/>
        <v>31-60</v>
      </c>
      <c r="U765">
        <f t="shared" ca="1" si="141"/>
        <v>0</v>
      </c>
      <c r="V765" t="str">
        <f t="shared" ca="1" si="142"/>
        <v>Efficient</v>
      </c>
      <c r="W765">
        <f t="shared" si="143"/>
        <v>7239.42</v>
      </c>
    </row>
    <row r="766" spans="1:23" x14ac:dyDescent="0.35">
      <c r="A766" t="s">
        <v>791</v>
      </c>
      <c r="B766" t="s">
        <v>20</v>
      </c>
      <c r="C766" s="1">
        <v>44880</v>
      </c>
      <c r="D766" s="1">
        <v>44887</v>
      </c>
      <c r="E766" t="s">
        <v>13</v>
      </c>
      <c r="F766" t="s">
        <v>35</v>
      </c>
      <c r="G766">
        <v>645</v>
      </c>
      <c r="H766">
        <v>35.049999999999997</v>
      </c>
      <c r="I766">
        <v>30.88</v>
      </c>
      <c r="J766">
        <v>27</v>
      </c>
      <c r="K766">
        <f t="shared" si="132"/>
        <v>618</v>
      </c>
      <c r="L766" t="s">
        <v>15</v>
      </c>
      <c r="M766" s="1">
        <f t="shared" si="133"/>
        <v>44887</v>
      </c>
      <c r="N766" t="str">
        <f t="shared" ca="1" si="134"/>
        <v>Net 45</v>
      </c>
      <c r="O766">
        <f t="shared" ca="1" si="135"/>
        <v>45</v>
      </c>
      <c r="P766" s="1">
        <f t="shared" ca="1" si="136"/>
        <v>44932</v>
      </c>
      <c r="Q766" s="1">
        <f t="shared" ca="1" si="137"/>
        <v>44931</v>
      </c>
      <c r="R766">
        <f t="shared" ca="1" si="138"/>
        <v>44</v>
      </c>
      <c r="S766" t="str">
        <f t="shared" ca="1" si="139"/>
        <v>On Time</v>
      </c>
      <c r="T766" t="str">
        <f t="shared" ca="1" si="140"/>
        <v>31-60</v>
      </c>
      <c r="U766">
        <f t="shared" ca="1" si="141"/>
        <v>0</v>
      </c>
      <c r="V766" t="str">
        <f t="shared" ca="1" si="142"/>
        <v>Efficient</v>
      </c>
      <c r="W766">
        <f t="shared" si="143"/>
        <v>19917.599999999999</v>
      </c>
    </row>
    <row r="767" spans="1:23" x14ac:dyDescent="0.35">
      <c r="A767" t="s">
        <v>792</v>
      </c>
      <c r="B767" t="s">
        <v>20</v>
      </c>
      <c r="C767" s="1">
        <v>44672</v>
      </c>
      <c r="D767" s="1">
        <v>44685</v>
      </c>
      <c r="E767" t="s">
        <v>39</v>
      </c>
      <c r="F767" t="s">
        <v>14</v>
      </c>
      <c r="G767">
        <v>1953</v>
      </c>
      <c r="H767">
        <v>68.069999999999993</v>
      </c>
      <c r="I767">
        <v>62.95</v>
      </c>
      <c r="J767">
        <v>87</v>
      </c>
      <c r="K767">
        <f t="shared" si="132"/>
        <v>1866</v>
      </c>
      <c r="L767" t="s">
        <v>15</v>
      </c>
      <c r="M767" s="1">
        <f t="shared" si="133"/>
        <v>44685</v>
      </c>
      <c r="N767" t="str">
        <f t="shared" ca="1" si="134"/>
        <v>Net 45</v>
      </c>
      <c r="O767">
        <f t="shared" ca="1" si="135"/>
        <v>45</v>
      </c>
      <c r="P767" s="1">
        <f t="shared" ca="1" si="136"/>
        <v>44730</v>
      </c>
      <c r="Q767" s="1">
        <f t="shared" ca="1" si="137"/>
        <v>44740</v>
      </c>
      <c r="R767">
        <f t="shared" ca="1" si="138"/>
        <v>55</v>
      </c>
      <c r="S767" t="str">
        <f t="shared" ca="1" si="139"/>
        <v>Late</v>
      </c>
      <c r="T767" t="str">
        <f t="shared" ca="1" si="140"/>
        <v>31-60</v>
      </c>
      <c r="U767">
        <f t="shared" ca="1" si="141"/>
        <v>10</v>
      </c>
      <c r="V767" t="str">
        <f t="shared" ca="1" si="142"/>
        <v>Inefficient</v>
      </c>
      <c r="W767">
        <f t="shared" si="143"/>
        <v>122941.35</v>
      </c>
    </row>
    <row r="768" spans="1:23" x14ac:dyDescent="0.35">
      <c r="A768" t="s">
        <v>793</v>
      </c>
      <c r="B768" t="s">
        <v>20</v>
      </c>
      <c r="C768" s="1">
        <v>45154</v>
      </c>
      <c r="D768" s="1">
        <v>45171</v>
      </c>
      <c r="E768" t="s">
        <v>39</v>
      </c>
      <c r="F768" t="s">
        <v>18</v>
      </c>
      <c r="G768">
        <v>778</v>
      </c>
      <c r="H768">
        <v>64.17</v>
      </c>
      <c r="I768">
        <v>61.6</v>
      </c>
      <c r="J768">
        <v>47</v>
      </c>
      <c r="K768">
        <f t="shared" si="132"/>
        <v>731</v>
      </c>
      <c r="L768" t="s">
        <v>15</v>
      </c>
      <c r="M768" s="1">
        <f t="shared" si="133"/>
        <v>45171</v>
      </c>
      <c r="N768" t="str">
        <f t="shared" ca="1" si="134"/>
        <v>Net 15</v>
      </c>
      <c r="O768">
        <f t="shared" ca="1" si="135"/>
        <v>15</v>
      </c>
      <c r="P768" s="1">
        <f t="shared" ca="1" si="136"/>
        <v>45186</v>
      </c>
      <c r="Q768" s="1">
        <f t="shared" ca="1" si="137"/>
        <v>45183</v>
      </c>
      <c r="R768">
        <f t="shared" ca="1" si="138"/>
        <v>12</v>
      </c>
      <c r="S768" t="str">
        <f t="shared" ca="1" si="139"/>
        <v>On Time</v>
      </c>
      <c r="T768" t="str">
        <f t="shared" ca="1" si="140"/>
        <v>0-30</v>
      </c>
      <c r="U768">
        <f t="shared" ca="1" si="141"/>
        <v>0</v>
      </c>
      <c r="V768" t="str">
        <f t="shared" ca="1" si="142"/>
        <v>Efficient</v>
      </c>
      <c r="W768">
        <f t="shared" si="143"/>
        <v>47924.800000000003</v>
      </c>
    </row>
    <row r="769" spans="1:23" x14ac:dyDescent="0.35">
      <c r="A769" t="s">
        <v>794</v>
      </c>
      <c r="B769" t="s">
        <v>29</v>
      </c>
      <c r="C769" s="1">
        <v>44588</v>
      </c>
      <c r="D769" s="1">
        <v>44601</v>
      </c>
      <c r="E769" t="s">
        <v>13</v>
      </c>
      <c r="F769" t="s">
        <v>18</v>
      </c>
      <c r="G769">
        <v>1415</v>
      </c>
      <c r="H769">
        <v>80.19</v>
      </c>
      <c r="I769">
        <v>78.34</v>
      </c>
      <c r="K769">
        <f t="shared" si="132"/>
        <v>1415</v>
      </c>
      <c r="L769" t="s">
        <v>15</v>
      </c>
      <c r="M769" s="1">
        <f t="shared" si="133"/>
        <v>44601</v>
      </c>
      <c r="N769" t="str">
        <f t="shared" ca="1" si="134"/>
        <v>Net 15</v>
      </c>
      <c r="O769">
        <f t="shared" ca="1" si="135"/>
        <v>15</v>
      </c>
      <c r="P769" s="1">
        <f t="shared" ca="1" si="136"/>
        <v>44616</v>
      </c>
      <c r="Q769" s="1">
        <f t="shared" ca="1" si="137"/>
        <v>44629</v>
      </c>
      <c r="R769">
        <f t="shared" ca="1" si="138"/>
        <v>28</v>
      </c>
      <c r="S769" t="str">
        <f t="shared" ca="1" si="139"/>
        <v>Late</v>
      </c>
      <c r="T769" t="str">
        <f t="shared" ca="1" si="140"/>
        <v>0-30</v>
      </c>
      <c r="U769">
        <f t="shared" ca="1" si="141"/>
        <v>13</v>
      </c>
      <c r="V769" t="str">
        <f t="shared" ca="1" si="142"/>
        <v>Inefficient</v>
      </c>
      <c r="W769">
        <f t="shared" si="143"/>
        <v>110851.1</v>
      </c>
    </row>
    <row r="770" spans="1:23" x14ac:dyDescent="0.35">
      <c r="A770" t="s">
        <v>795</v>
      </c>
      <c r="B770" t="s">
        <v>20</v>
      </c>
      <c r="C770" s="1">
        <v>44881</v>
      </c>
      <c r="D770" s="1">
        <v>44887</v>
      </c>
      <c r="E770" t="s">
        <v>26</v>
      </c>
      <c r="F770" t="s">
        <v>18</v>
      </c>
      <c r="G770">
        <v>446</v>
      </c>
      <c r="H770">
        <v>20.61</v>
      </c>
      <c r="I770">
        <v>19.46</v>
      </c>
      <c r="J770">
        <v>14</v>
      </c>
      <c r="K770">
        <f t="shared" si="132"/>
        <v>432</v>
      </c>
      <c r="L770" t="s">
        <v>15</v>
      </c>
      <c r="M770" s="1">
        <f t="shared" si="133"/>
        <v>44887</v>
      </c>
      <c r="N770" t="str">
        <f t="shared" ca="1" si="134"/>
        <v>Net 30</v>
      </c>
      <c r="O770">
        <f t="shared" ca="1" si="135"/>
        <v>30</v>
      </c>
      <c r="P770" s="1">
        <f t="shared" ca="1" si="136"/>
        <v>44917</v>
      </c>
      <c r="Q770" s="1">
        <f t="shared" ca="1" si="137"/>
        <v>44916</v>
      </c>
      <c r="R770">
        <f t="shared" ca="1" si="138"/>
        <v>29</v>
      </c>
      <c r="S770" t="str">
        <f t="shared" ca="1" si="139"/>
        <v>On Time</v>
      </c>
      <c r="T770" t="str">
        <f t="shared" ca="1" si="140"/>
        <v>0-30</v>
      </c>
      <c r="U770">
        <f t="shared" ca="1" si="141"/>
        <v>0</v>
      </c>
      <c r="V770" t="str">
        <f t="shared" ca="1" si="142"/>
        <v>Efficient</v>
      </c>
      <c r="W770">
        <f t="shared" si="143"/>
        <v>8679.16</v>
      </c>
    </row>
    <row r="771" spans="1:23" x14ac:dyDescent="0.35">
      <c r="A771" t="s">
        <v>796</v>
      </c>
      <c r="B771" t="s">
        <v>29</v>
      </c>
      <c r="C771" s="1">
        <v>45151</v>
      </c>
      <c r="E771" t="s">
        <v>13</v>
      </c>
      <c r="F771" t="s">
        <v>18</v>
      </c>
      <c r="G771">
        <v>748</v>
      </c>
      <c r="H771">
        <v>85.95</v>
      </c>
      <c r="I771">
        <v>79.16</v>
      </c>
      <c r="J771">
        <v>32</v>
      </c>
      <c r="K771">
        <f t="shared" ref="K771:K778" si="144">G771-J771</f>
        <v>716</v>
      </c>
      <c r="L771" t="s">
        <v>15</v>
      </c>
      <c r="M771" s="1">
        <f t="shared" ref="M771:M778" si="145">D771</f>
        <v>0</v>
      </c>
      <c r="N771" t="str">
        <f t="shared" ref="N771:N778" ca="1" si="146">CHOOSE(RANDBETWEEN(1,3),"Net 15","Net 30","Net 45")</f>
        <v>Net 30</v>
      </c>
      <c r="O771">
        <f t="shared" ref="O771:O778" ca="1" si="147">VALUE(RIGHT(N771,2))</f>
        <v>30</v>
      </c>
      <c r="P771" s="1">
        <f t="shared" ref="P771:P778" ca="1" si="148">(M771+O771)</f>
        <v>30</v>
      </c>
      <c r="Q771" s="1">
        <f t="shared" ref="Q771:Q778" ca="1" si="149">P771 + RANDBETWEEN(-5,20)</f>
        <v>27</v>
      </c>
      <c r="R771">
        <f t="shared" ref="R771:R778" ca="1" si="150">Q771-M771</f>
        <v>27</v>
      </c>
      <c r="S771" t="str">
        <f t="shared" ref="S771:S778" ca="1" si="151">IF(Q771&lt;=P771,"On Time","Late")</f>
        <v>On Time</v>
      </c>
      <c r="T771" t="str">
        <f t="shared" ref="T771:T778" ca="1" si="152">IF(R771&lt;=30,"0-30",
IF(R771&lt;=60,"31-60",
IF(R771&lt;=90,"61-90","90+")))</f>
        <v>0-30</v>
      </c>
      <c r="U771">
        <f t="shared" ref="U771:U778" ca="1" si="153">MAX(0,Q771-P771)</f>
        <v>0</v>
      </c>
      <c r="V771" t="str">
        <f t="shared" ref="V771:V778" ca="1" si="154">IF(U771=0,"Efficient","Inefficient")</f>
        <v>Efficient</v>
      </c>
      <c r="W771">
        <f t="shared" ref="W771:W778" si="155">G771*I771</f>
        <v>59211.68</v>
      </c>
    </row>
    <row r="772" spans="1:23" x14ac:dyDescent="0.35">
      <c r="A772" t="s">
        <v>797</v>
      </c>
      <c r="B772" t="s">
        <v>12</v>
      </c>
      <c r="C772" s="1">
        <v>45255</v>
      </c>
      <c r="D772" s="1">
        <v>45263</v>
      </c>
      <c r="E772" t="s">
        <v>39</v>
      </c>
      <c r="F772" t="s">
        <v>35</v>
      </c>
      <c r="G772">
        <v>1092</v>
      </c>
      <c r="H772">
        <v>65.17</v>
      </c>
      <c r="I772">
        <v>63.11</v>
      </c>
      <c r="J772">
        <v>21</v>
      </c>
      <c r="K772">
        <f t="shared" si="144"/>
        <v>1071</v>
      </c>
      <c r="L772" t="s">
        <v>15</v>
      </c>
      <c r="M772" s="1">
        <f t="shared" si="145"/>
        <v>45263</v>
      </c>
      <c r="N772" t="str">
        <f t="shared" ca="1" si="146"/>
        <v>Net 45</v>
      </c>
      <c r="O772">
        <f t="shared" ca="1" si="147"/>
        <v>45</v>
      </c>
      <c r="P772" s="1">
        <f t="shared" ca="1" si="148"/>
        <v>45308</v>
      </c>
      <c r="Q772" s="1">
        <f t="shared" ca="1" si="149"/>
        <v>45320</v>
      </c>
      <c r="R772">
        <f t="shared" ca="1" si="150"/>
        <v>57</v>
      </c>
      <c r="S772" t="str">
        <f t="shared" ca="1" si="151"/>
        <v>Late</v>
      </c>
      <c r="T772" t="str">
        <f t="shared" ca="1" si="152"/>
        <v>31-60</v>
      </c>
      <c r="U772">
        <f t="shared" ca="1" si="153"/>
        <v>12</v>
      </c>
      <c r="V772" t="str">
        <f t="shared" ca="1" si="154"/>
        <v>Inefficient</v>
      </c>
      <c r="W772">
        <f t="shared" si="155"/>
        <v>68916.12</v>
      </c>
    </row>
    <row r="773" spans="1:23" x14ac:dyDescent="0.35">
      <c r="A773" t="s">
        <v>798</v>
      </c>
      <c r="B773" t="s">
        <v>23</v>
      </c>
      <c r="C773" s="1">
        <v>44946</v>
      </c>
      <c r="D773" s="1">
        <v>44959</v>
      </c>
      <c r="E773" t="s">
        <v>39</v>
      </c>
      <c r="F773" t="s">
        <v>18</v>
      </c>
      <c r="G773">
        <v>226</v>
      </c>
      <c r="H773">
        <v>102.47</v>
      </c>
      <c r="I773">
        <v>99.16</v>
      </c>
      <c r="J773">
        <v>28</v>
      </c>
      <c r="K773">
        <f t="shared" si="144"/>
        <v>198</v>
      </c>
      <c r="L773" t="s">
        <v>15</v>
      </c>
      <c r="M773" s="1">
        <f t="shared" si="145"/>
        <v>44959</v>
      </c>
      <c r="N773" t="str">
        <f t="shared" ca="1" si="146"/>
        <v>Net 45</v>
      </c>
      <c r="O773">
        <f t="shared" ca="1" si="147"/>
        <v>45</v>
      </c>
      <c r="P773" s="1">
        <f t="shared" ca="1" si="148"/>
        <v>45004</v>
      </c>
      <c r="Q773" s="1">
        <f t="shared" ca="1" si="149"/>
        <v>45008</v>
      </c>
      <c r="R773">
        <f t="shared" ca="1" si="150"/>
        <v>49</v>
      </c>
      <c r="S773" t="str">
        <f t="shared" ca="1" si="151"/>
        <v>Late</v>
      </c>
      <c r="T773" t="str">
        <f t="shared" ca="1" si="152"/>
        <v>31-60</v>
      </c>
      <c r="U773">
        <f t="shared" ca="1" si="153"/>
        <v>4</v>
      </c>
      <c r="V773" t="str">
        <f t="shared" ca="1" si="154"/>
        <v>Inefficient</v>
      </c>
      <c r="W773">
        <f t="shared" si="155"/>
        <v>22410.16</v>
      </c>
    </row>
    <row r="774" spans="1:23" x14ac:dyDescent="0.35">
      <c r="A774" t="s">
        <v>799</v>
      </c>
      <c r="B774" t="s">
        <v>17</v>
      </c>
      <c r="C774" s="1">
        <v>44968</v>
      </c>
      <c r="D774" s="1">
        <v>44977</v>
      </c>
      <c r="E774" t="s">
        <v>39</v>
      </c>
      <c r="F774" t="s">
        <v>18</v>
      </c>
      <c r="G774">
        <v>1685</v>
      </c>
      <c r="H774">
        <v>43.42</v>
      </c>
      <c r="I774">
        <v>42.24</v>
      </c>
      <c r="J774">
        <v>262</v>
      </c>
      <c r="K774">
        <f t="shared" si="144"/>
        <v>1423</v>
      </c>
      <c r="L774" t="s">
        <v>15</v>
      </c>
      <c r="M774" s="1">
        <f t="shared" si="145"/>
        <v>44977</v>
      </c>
      <c r="N774" t="str">
        <f t="shared" ca="1" si="146"/>
        <v>Net 45</v>
      </c>
      <c r="O774">
        <f t="shared" ca="1" si="147"/>
        <v>45</v>
      </c>
      <c r="P774" s="1">
        <f t="shared" ca="1" si="148"/>
        <v>45022</v>
      </c>
      <c r="Q774" s="1">
        <f t="shared" ca="1" si="149"/>
        <v>45020</v>
      </c>
      <c r="R774">
        <f t="shared" ca="1" si="150"/>
        <v>43</v>
      </c>
      <c r="S774" t="str">
        <f t="shared" ca="1" si="151"/>
        <v>On Time</v>
      </c>
      <c r="T774" t="str">
        <f t="shared" ca="1" si="152"/>
        <v>31-60</v>
      </c>
      <c r="U774">
        <f t="shared" ca="1" si="153"/>
        <v>0</v>
      </c>
      <c r="V774" t="str">
        <f t="shared" ca="1" si="154"/>
        <v>Efficient</v>
      </c>
      <c r="W774">
        <f t="shared" si="155"/>
        <v>71174.400000000009</v>
      </c>
    </row>
    <row r="775" spans="1:23" x14ac:dyDescent="0.35">
      <c r="A775" t="s">
        <v>800</v>
      </c>
      <c r="B775" t="s">
        <v>12</v>
      </c>
      <c r="C775" s="1">
        <v>44765</v>
      </c>
      <c r="E775" t="s">
        <v>13</v>
      </c>
      <c r="F775" t="s">
        <v>18</v>
      </c>
      <c r="G775">
        <v>445</v>
      </c>
      <c r="H775">
        <v>68.94</v>
      </c>
      <c r="I775">
        <v>60.35</v>
      </c>
      <c r="J775">
        <v>7</v>
      </c>
      <c r="K775">
        <f t="shared" si="144"/>
        <v>438</v>
      </c>
      <c r="L775" t="s">
        <v>15</v>
      </c>
      <c r="M775" s="1">
        <f t="shared" si="145"/>
        <v>0</v>
      </c>
      <c r="N775" t="str">
        <f t="shared" ca="1" si="146"/>
        <v>Net 15</v>
      </c>
      <c r="O775">
        <f t="shared" ca="1" si="147"/>
        <v>15</v>
      </c>
      <c r="P775" s="1">
        <f t="shared" ca="1" si="148"/>
        <v>15</v>
      </c>
      <c r="Q775" s="1">
        <f t="shared" ca="1" si="149"/>
        <v>24</v>
      </c>
      <c r="R775">
        <f t="shared" ca="1" si="150"/>
        <v>24</v>
      </c>
      <c r="S775" t="str">
        <f t="shared" ca="1" si="151"/>
        <v>Late</v>
      </c>
      <c r="T775" t="str">
        <f t="shared" ca="1" si="152"/>
        <v>0-30</v>
      </c>
      <c r="U775">
        <f t="shared" ca="1" si="153"/>
        <v>9</v>
      </c>
      <c r="V775" t="str">
        <f t="shared" ca="1" si="154"/>
        <v>Inefficient</v>
      </c>
      <c r="W775">
        <f t="shared" si="155"/>
        <v>26855.75</v>
      </c>
    </row>
    <row r="776" spans="1:23" x14ac:dyDescent="0.35">
      <c r="A776" t="s">
        <v>801</v>
      </c>
      <c r="B776" t="s">
        <v>20</v>
      </c>
      <c r="C776" s="1">
        <v>44639</v>
      </c>
      <c r="D776" s="1">
        <v>44658</v>
      </c>
      <c r="E776" t="s">
        <v>26</v>
      </c>
      <c r="F776" t="s">
        <v>18</v>
      </c>
      <c r="G776">
        <v>494</v>
      </c>
      <c r="H776">
        <v>94.82</v>
      </c>
      <c r="I776">
        <v>81.89</v>
      </c>
      <c r="J776">
        <v>29</v>
      </c>
      <c r="K776">
        <f t="shared" si="144"/>
        <v>465</v>
      </c>
      <c r="L776" t="s">
        <v>15</v>
      </c>
      <c r="M776" s="1">
        <f t="shared" si="145"/>
        <v>44658</v>
      </c>
      <c r="N776" t="str">
        <f t="shared" ca="1" si="146"/>
        <v>Net 45</v>
      </c>
      <c r="O776">
        <f t="shared" ca="1" si="147"/>
        <v>45</v>
      </c>
      <c r="P776" s="1">
        <f t="shared" ca="1" si="148"/>
        <v>44703</v>
      </c>
      <c r="Q776" s="1">
        <f t="shared" ca="1" si="149"/>
        <v>44706</v>
      </c>
      <c r="R776">
        <f t="shared" ca="1" si="150"/>
        <v>48</v>
      </c>
      <c r="S776" t="str">
        <f t="shared" ca="1" si="151"/>
        <v>Late</v>
      </c>
      <c r="T776" t="str">
        <f t="shared" ca="1" si="152"/>
        <v>31-60</v>
      </c>
      <c r="U776">
        <f t="shared" ca="1" si="153"/>
        <v>3</v>
      </c>
      <c r="V776" t="str">
        <f t="shared" ca="1" si="154"/>
        <v>Inefficient</v>
      </c>
      <c r="W776">
        <f t="shared" si="155"/>
        <v>40453.660000000003</v>
      </c>
    </row>
    <row r="777" spans="1:23" x14ac:dyDescent="0.35">
      <c r="A777" t="s">
        <v>802</v>
      </c>
      <c r="B777" t="s">
        <v>23</v>
      </c>
      <c r="C777" s="1">
        <v>45168</v>
      </c>
      <c r="D777" s="1">
        <v>45180</v>
      </c>
      <c r="E777" t="s">
        <v>21</v>
      </c>
      <c r="F777" t="s">
        <v>18</v>
      </c>
      <c r="G777">
        <v>1306</v>
      </c>
      <c r="H777">
        <v>21.05</v>
      </c>
      <c r="I777">
        <v>18.27</v>
      </c>
      <c r="J777">
        <v>128</v>
      </c>
      <c r="K777">
        <f t="shared" si="144"/>
        <v>1178</v>
      </c>
      <c r="L777" t="s">
        <v>15</v>
      </c>
      <c r="M777" s="1">
        <f t="shared" si="145"/>
        <v>45180</v>
      </c>
      <c r="N777" t="str">
        <f t="shared" ca="1" si="146"/>
        <v>Net 15</v>
      </c>
      <c r="O777">
        <f t="shared" ca="1" si="147"/>
        <v>15</v>
      </c>
      <c r="P777" s="1">
        <f t="shared" ca="1" si="148"/>
        <v>45195</v>
      </c>
      <c r="Q777" s="1">
        <f t="shared" ca="1" si="149"/>
        <v>45212</v>
      </c>
      <c r="R777">
        <f t="shared" ca="1" si="150"/>
        <v>32</v>
      </c>
      <c r="S777" t="str">
        <f t="shared" ca="1" si="151"/>
        <v>Late</v>
      </c>
      <c r="T777" t="str">
        <f t="shared" ca="1" si="152"/>
        <v>31-60</v>
      </c>
      <c r="U777">
        <f t="shared" ca="1" si="153"/>
        <v>17</v>
      </c>
      <c r="V777" t="str">
        <f t="shared" ca="1" si="154"/>
        <v>Inefficient</v>
      </c>
      <c r="W777">
        <f t="shared" si="155"/>
        <v>23860.62</v>
      </c>
    </row>
    <row r="778" spans="1:23" x14ac:dyDescent="0.35">
      <c r="A778" t="s">
        <v>803</v>
      </c>
      <c r="B778" t="s">
        <v>23</v>
      </c>
      <c r="C778" s="1">
        <v>45269</v>
      </c>
      <c r="D778" s="1">
        <v>45271</v>
      </c>
      <c r="E778" t="s">
        <v>13</v>
      </c>
      <c r="F778" t="s">
        <v>18</v>
      </c>
      <c r="G778">
        <v>1988</v>
      </c>
      <c r="H778">
        <v>105.2</v>
      </c>
      <c r="I778">
        <v>93.23</v>
      </c>
      <c r="J778">
        <v>187</v>
      </c>
      <c r="K778">
        <f t="shared" si="144"/>
        <v>1801</v>
      </c>
      <c r="L778" t="s">
        <v>15</v>
      </c>
      <c r="M778" s="1">
        <f t="shared" si="145"/>
        <v>45271</v>
      </c>
      <c r="N778" t="str">
        <f t="shared" ca="1" si="146"/>
        <v>Net 45</v>
      </c>
      <c r="O778">
        <f t="shared" ca="1" si="147"/>
        <v>45</v>
      </c>
      <c r="P778" s="1">
        <f t="shared" ca="1" si="148"/>
        <v>45316</v>
      </c>
      <c r="Q778" s="1">
        <f t="shared" ca="1" si="149"/>
        <v>45312</v>
      </c>
      <c r="R778">
        <f t="shared" ca="1" si="150"/>
        <v>41</v>
      </c>
      <c r="S778" t="str">
        <f t="shared" ca="1" si="151"/>
        <v>On Time</v>
      </c>
      <c r="T778" t="str">
        <f t="shared" ca="1" si="152"/>
        <v>31-60</v>
      </c>
      <c r="U778">
        <f t="shared" ca="1" si="153"/>
        <v>0</v>
      </c>
      <c r="V778" t="str">
        <f t="shared" ca="1" si="154"/>
        <v>Efficient</v>
      </c>
      <c r="W778">
        <f t="shared" si="155"/>
        <v>185341.24000000002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Sheet2</vt:lpstr>
      <vt:lpstr>Sheet3</vt:lpstr>
      <vt:lpstr>Procurement KPI Analysis Datase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Sonali Singh</cp:lastModifiedBy>
  <dcterms:created xsi:type="dcterms:W3CDTF">2026-02-15T18:51:00Z</dcterms:created>
  <dcterms:modified xsi:type="dcterms:W3CDTF">2026-02-18T20:24:17Z</dcterms:modified>
</cp:coreProperties>
</file>